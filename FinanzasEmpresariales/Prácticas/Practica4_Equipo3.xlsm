
<file path=[Content_Types].xml><?xml version="1.0" encoding="utf-8"?>
<Types xmlns="http://schemas.openxmlformats.org/package/2006/content-types">
  <Default Extension="bin" ContentType="application/vnd.openxmlformats-officedocument.spreadsheetml.printerSettings"/>
  <Default Extension="jpg" ContentType="image/jpeg"/>
  <Default Extension="png" ContentType="image/png"/>
  <Default Extension="rels" ContentType="application/vnd.openxmlformats-package.relationships+xml"/>
  <Default Extension="svg" ContentType="image/svg+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026" codeName="{4D1C537B-E38A-612A-F078-A93A15B4B7F4}"/>
  <workbookPr codeName="ThisWorkbook" defaultThemeVersion="166925"/>
  <mc:AlternateContent xmlns:mc="http://schemas.openxmlformats.org/markup-compatibility/2006">
    <mc:Choice Requires="x15">
      <x15ac:absPath xmlns:x15ac="http://schemas.microsoft.com/office/spreadsheetml/2010/11/ac" url="C:\Users\miria\Downloads\"/>
    </mc:Choice>
  </mc:AlternateContent>
  <xr:revisionPtr revIDLastSave="0" documentId="13_ncr:1_{225FDF19-82E7-44C9-BD74-8163F19E5A75}" xr6:coauthVersionLast="47" xr6:coauthVersionMax="47" xr10:uidLastSave="{00000000-0000-0000-0000-000000000000}"/>
  <bookViews>
    <workbookView xWindow="-120" yWindow="-120" windowWidth="20730" windowHeight="11160" xr2:uid="{E614F96C-8BF2-495A-90BB-4456C2FCC7BA}"/>
  </bookViews>
  <sheets>
    <sheet name="Portada" sheetId="1" r:id="rId1"/>
    <sheet name="Antecedentes" sheetId="2" r:id="rId2"/>
    <sheet name="Simulador" sheetId="12" r:id="rId3"/>
    <sheet name="Pagos Decrecientes" sheetId="3" r:id="rId4"/>
    <sheet name="Pagos Iguales" sheetId="4" r:id="rId5"/>
    <sheet name="Pagos Crecientes" sheetId="5" r:id="rId6"/>
    <sheet name="Bullet" sheetId="6" r:id="rId7"/>
    <sheet name="Referencias" sheetId="7" r:id="rId8"/>
  </sheets>
  <definedNames>
    <definedName name="Fecha">'Pagos Iguales'!$F$8</definedName>
    <definedName name="Importe">'Pagos Iguales'!$F$4</definedName>
    <definedName name="Periodo">'Pagos Iguales'!$F$7</definedName>
    <definedName name="Tasa">'Pagos Iguales'!$F$5</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F4" i="3" l="1"/>
  <c r="F5" i="3"/>
  <c r="F6" i="3" s="1"/>
  <c r="F7" i="3"/>
  <c r="L5" i="3" s="1"/>
  <c r="L4" i="3" l="1"/>
  <c r="E58" i="3"/>
  <c r="L8" i="3"/>
  <c r="E66" i="3"/>
  <c r="E74" i="3"/>
  <c r="E42" i="3"/>
  <c r="E50" i="3"/>
  <c r="E18" i="3"/>
  <c r="E65" i="3"/>
  <c r="E41" i="3"/>
  <c r="E72" i="3"/>
  <c r="E64" i="3"/>
  <c r="E56" i="3"/>
  <c r="E48" i="3"/>
  <c r="E40" i="3"/>
  <c r="E32" i="3"/>
  <c r="E24" i="3"/>
  <c r="E16" i="3"/>
  <c r="E34" i="3"/>
  <c r="E73" i="3"/>
  <c r="E55" i="3"/>
  <c r="E39" i="3"/>
  <c r="E23" i="3"/>
  <c r="E78" i="3"/>
  <c r="E70" i="3"/>
  <c r="E62" i="3"/>
  <c r="E54" i="3"/>
  <c r="E46" i="3"/>
  <c r="E38" i="3"/>
  <c r="E30" i="3"/>
  <c r="E22" i="3"/>
  <c r="E14" i="3"/>
  <c r="E26" i="3"/>
  <c r="E57" i="3"/>
  <c r="E33" i="3"/>
  <c r="E25" i="3"/>
  <c r="E17" i="3"/>
  <c r="E71" i="3"/>
  <c r="E63" i="3"/>
  <c r="E47" i="3"/>
  <c r="E31" i="3"/>
  <c r="E15" i="3"/>
  <c r="E77" i="3"/>
  <c r="E69" i="3"/>
  <c r="E61" i="3"/>
  <c r="E53" i="3"/>
  <c r="E45" i="3"/>
  <c r="E37" i="3"/>
  <c r="E29" i="3"/>
  <c r="E21" i="3"/>
  <c r="E13" i="3"/>
  <c r="E76" i="3"/>
  <c r="E68" i="3"/>
  <c r="E60" i="3"/>
  <c r="E52" i="3"/>
  <c r="E44" i="3"/>
  <c r="E36" i="3"/>
  <c r="E28" i="3"/>
  <c r="E20" i="3"/>
  <c r="E12" i="3"/>
  <c r="E49" i="3"/>
  <c r="E75" i="3"/>
  <c r="E67" i="3"/>
  <c r="E59" i="3"/>
  <c r="E51" i="3"/>
  <c r="E43" i="3"/>
  <c r="E35" i="3"/>
  <c r="E27" i="3"/>
  <c r="E19" i="3"/>
  <c r="E11" i="3"/>
  <c r="F7" i="6"/>
  <c r="L4" i="6" s="1"/>
  <c r="L7" i="6" s="1"/>
  <c r="F7" i="5"/>
  <c r="F7" i="4"/>
  <c r="F5" i="6"/>
  <c r="F6" i="6" s="1"/>
  <c r="F4" i="6"/>
  <c r="F5" i="5"/>
  <c r="F6" i="5" s="1"/>
  <c r="F4" i="5"/>
  <c r="F5" i="4"/>
  <c r="F6" i="4" s="1"/>
  <c r="F4" i="4"/>
  <c r="T7" i="6" l="1"/>
  <c r="E11" i="6"/>
  <c r="F11" i="6" s="1"/>
  <c r="E31" i="6"/>
  <c r="F31" i="6" s="1"/>
  <c r="E63" i="6"/>
  <c r="F63" i="6" s="1"/>
  <c r="E53" i="6"/>
  <c r="E21" i="6"/>
  <c r="E44" i="6"/>
  <c r="E29" i="6"/>
  <c r="E28" i="6"/>
  <c r="E37" i="6"/>
  <c r="E13" i="6"/>
  <c r="E68" i="6"/>
  <c r="F68" i="6" s="1"/>
  <c r="E52" i="6"/>
  <c r="E20" i="6"/>
  <c r="E61" i="6"/>
  <c r="E39" i="6"/>
  <c r="E15" i="6"/>
  <c r="F15" i="6" s="1"/>
  <c r="E60" i="6"/>
  <c r="E69" i="6"/>
  <c r="E47" i="6"/>
  <c r="E36" i="6"/>
  <c r="E12" i="6"/>
  <c r="E55" i="6"/>
  <c r="E45" i="6"/>
  <c r="E23" i="6"/>
  <c r="E70" i="6"/>
  <c r="E62" i="6"/>
  <c r="E54" i="6"/>
  <c r="E46" i="6"/>
  <c r="E38" i="6"/>
  <c r="E30" i="6"/>
  <c r="E22" i="6"/>
  <c r="E14" i="6"/>
  <c r="E64" i="6"/>
  <c r="E56" i="6"/>
  <c r="E48" i="6"/>
  <c r="E40" i="6"/>
  <c r="E32" i="6"/>
  <c r="E24" i="6"/>
  <c r="E16" i="6"/>
  <c r="E65" i="6"/>
  <c r="E57" i="6"/>
  <c r="E49" i="6"/>
  <c r="E41" i="6"/>
  <c r="E33" i="6"/>
  <c r="E25" i="6"/>
  <c r="E17" i="6"/>
  <c r="E66" i="6"/>
  <c r="E58" i="6"/>
  <c r="E50" i="6"/>
  <c r="E42" i="6"/>
  <c r="E34" i="6"/>
  <c r="E26" i="6"/>
  <c r="E18" i="6"/>
  <c r="E67" i="6"/>
  <c r="E59" i="6"/>
  <c r="E51" i="6"/>
  <c r="E43" i="6"/>
  <c r="E35" i="6"/>
  <c r="E27" i="6"/>
  <c r="E19" i="6"/>
  <c r="L5" i="4"/>
  <c r="L5" i="5"/>
  <c r="L4" i="5" s="1"/>
  <c r="G11" i="6" l="1"/>
  <c r="I11" i="6" s="1"/>
  <c r="H11" i="6"/>
  <c r="L8" i="5"/>
  <c r="L4" i="4"/>
  <c r="L8" i="4"/>
  <c r="H27" i="6"/>
  <c r="H43" i="6"/>
  <c r="H59" i="6"/>
  <c r="H18" i="6"/>
  <c r="H50" i="6"/>
  <c r="H66" i="6"/>
  <c r="H25" i="6"/>
  <c r="H41" i="6"/>
  <c r="H57" i="6"/>
  <c r="H16" i="6"/>
  <c r="H32" i="6"/>
  <c r="H48" i="6"/>
  <c r="H64" i="6"/>
  <c r="H30" i="6"/>
  <c r="H38" i="6"/>
  <c r="H54" i="6"/>
  <c r="H23" i="6"/>
  <c r="H55" i="6"/>
  <c r="H36" i="6"/>
  <c r="H69" i="6"/>
  <c r="H15" i="6"/>
  <c r="H61" i="6"/>
  <c r="H52" i="6"/>
  <c r="H13" i="6"/>
  <c r="F28" i="6"/>
  <c r="H28" i="6"/>
  <c r="F21" i="6"/>
  <c r="H21" i="6"/>
  <c r="H63" i="6"/>
  <c r="H19" i="6"/>
  <c r="H35" i="6"/>
  <c r="H51" i="6"/>
  <c r="H67" i="6"/>
  <c r="H26" i="6"/>
  <c r="H42" i="6"/>
  <c r="H17" i="6"/>
  <c r="H33" i="6"/>
  <c r="H49" i="6"/>
  <c r="H65" i="6"/>
  <c r="H24" i="6"/>
  <c r="H40" i="6"/>
  <c r="H56" i="6"/>
  <c r="H14" i="6"/>
  <c r="H62" i="6"/>
  <c r="H45" i="6"/>
  <c r="H12" i="6"/>
  <c r="H47" i="6"/>
  <c r="H60" i="6"/>
  <c r="H39" i="6"/>
  <c r="H20" i="6"/>
  <c r="H68" i="6"/>
  <c r="H37" i="6"/>
  <c r="H29" i="6"/>
  <c r="H44" i="6"/>
  <c r="F53" i="6"/>
  <c r="H53" i="6"/>
  <c r="H31" i="6"/>
  <c r="F52" i="6"/>
  <c r="F55" i="6"/>
  <c r="F39" i="6"/>
  <c r="F47" i="6"/>
  <c r="F44" i="6"/>
  <c r="F36" i="6"/>
  <c r="F37" i="6"/>
  <c r="F45" i="6"/>
  <c r="F69" i="6"/>
  <c r="F61" i="6"/>
  <c r="F29" i="6"/>
  <c r="F60" i="6"/>
  <c r="F12" i="6"/>
  <c r="F20" i="6"/>
  <c r="F13" i="6"/>
  <c r="F23" i="6"/>
  <c r="F67" i="6"/>
  <c r="F26" i="6"/>
  <c r="F42" i="6"/>
  <c r="F64" i="6"/>
  <c r="F32" i="6"/>
  <c r="F66" i="6"/>
  <c r="F25" i="6"/>
  <c r="F49" i="6"/>
  <c r="F16" i="6"/>
  <c r="F30" i="6"/>
  <c r="F62" i="6"/>
  <c r="F54" i="6"/>
  <c r="F40" i="6"/>
  <c r="F59" i="6"/>
  <c r="F19" i="6"/>
  <c r="F27" i="6"/>
  <c r="F57" i="6"/>
  <c r="F38" i="6"/>
  <c r="F70" i="6"/>
  <c r="F50" i="6"/>
  <c r="F35" i="6"/>
  <c r="F18" i="6"/>
  <c r="F34" i="6"/>
  <c r="F33" i="6"/>
  <c r="F24" i="6"/>
  <c r="F48" i="6"/>
  <c r="F22" i="6"/>
  <c r="F43" i="6"/>
  <c r="F65" i="6"/>
  <c r="F14" i="6"/>
  <c r="F46" i="6"/>
  <c r="F41" i="6"/>
  <c r="F51" i="6"/>
  <c r="F58" i="6"/>
  <c r="F17" i="6"/>
  <c r="F56" i="6"/>
  <c r="E70" i="5"/>
  <c r="E69" i="5"/>
  <c r="E68" i="5"/>
  <c r="E67" i="5"/>
  <c r="E66" i="5"/>
  <c r="E65" i="5"/>
  <c r="E64" i="5"/>
  <c r="E63" i="5"/>
  <c r="E62" i="5"/>
  <c r="E61" i="5"/>
  <c r="E60" i="5"/>
  <c r="E59" i="5"/>
  <c r="E58" i="5"/>
  <c r="E57" i="5"/>
  <c r="E56" i="5"/>
  <c r="E55" i="5"/>
  <c r="E54" i="5"/>
  <c r="E53" i="5"/>
  <c r="E52" i="5"/>
  <c r="E51" i="5"/>
  <c r="E50" i="5"/>
  <c r="E49" i="5"/>
  <c r="E48" i="5"/>
  <c r="E47" i="5"/>
  <c r="E46" i="5"/>
  <c r="E45" i="5"/>
  <c r="E44" i="5"/>
  <c r="E43" i="5"/>
  <c r="E42" i="5"/>
  <c r="E41" i="5"/>
  <c r="E40" i="5"/>
  <c r="E39" i="5"/>
  <c r="E38" i="5"/>
  <c r="E37" i="5"/>
  <c r="E36" i="5"/>
  <c r="E35" i="5"/>
  <c r="E34" i="5"/>
  <c r="E33" i="5"/>
  <c r="E32" i="5"/>
  <c r="E31" i="5"/>
  <c r="E30" i="5"/>
  <c r="E29" i="5"/>
  <c r="E28" i="5"/>
  <c r="E27" i="5"/>
  <c r="E26" i="5"/>
  <c r="E25" i="5"/>
  <c r="E24" i="5"/>
  <c r="E23" i="5"/>
  <c r="E22" i="5"/>
  <c r="J22" i="5" s="1"/>
  <c r="E21" i="5"/>
  <c r="J21" i="5" s="1"/>
  <c r="E20" i="5"/>
  <c r="J20" i="5" s="1"/>
  <c r="E19" i="5"/>
  <c r="J19" i="5" s="1"/>
  <c r="E18" i="5"/>
  <c r="J18" i="5" s="1"/>
  <c r="E17" i="5"/>
  <c r="J17" i="5" s="1"/>
  <c r="E16" i="5"/>
  <c r="J16" i="5" s="1"/>
  <c r="E15" i="5"/>
  <c r="J15" i="5" s="1"/>
  <c r="E14" i="5"/>
  <c r="J14" i="5" s="1"/>
  <c r="E13" i="5"/>
  <c r="J13" i="5" s="1"/>
  <c r="E12" i="5"/>
  <c r="J12" i="5" s="1"/>
  <c r="E11" i="5"/>
  <c r="E12" i="4"/>
  <c r="F12" i="4" s="1"/>
  <c r="E11" i="4"/>
  <c r="H32" i="3"/>
  <c r="H30" i="3"/>
  <c r="H26" i="3"/>
  <c r="H24" i="3"/>
  <c r="H22" i="3"/>
  <c r="H18" i="3"/>
  <c r="H16" i="3"/>
  <c r="H14" i="3"/>
  <c r="E69" i="4"/>
  <c r="E67" i="4"/>
  <c r="E65" i="4"/>
  <c r="E63" i="4"/>
  <c r="E61" i="4"/>
  <c r="E59" i="4"/>
  <c r="E57" i="4"/>
  <c r="E55" i="4"/>
  <c r="E53" i="4"/>
  <c r="E51" i="4"/>
  <c r="E49" i="4"/>
  <c r="E47" i="4"/>
  <c r="E45" i="4"/>
  <c r="E43" i="4"/>
  <c r="E41" i="4"/>
  <c r="E39" i="4"/>
  <c r="E37" i="4"/>
  <c r="E35" i="4"/>
  <c r="E33" i="4"/>
  <c r="E31" i="4"/>
  <c r="E29" i="4"/>
  <c r="E27" i="4"/>
  <c r="E25" i="4"/>
  <c r="E23" i="4"/>
  <c r="E21" i="4"/>
  <c r="E19" i="4"/>
  <c r="E17" i="4"/>
  <c r="E15" i="4"/>
  <c r="E13" i="4"/>
  <c r="E70" i="4"/>
  <c r="E68" i="4"/>
  <c r="E66" i="4"/>
  <c r="E64" i="4"/>
  <c r="E62" i="4"/>
  <c r="E60" i="4"/>
  <c r="E58" i="4"/>
  <c r="E56" i="4"/>
  <c r="E54" i="4"/>
  <c r="E52" i="4"/>
  <c r="E50" i="4"/>
  <c r="E48" i="4"/>
  <c r="E46" i="4"/>
  <c r="E44" i="4"/>
  <c r="E42" i="4"/>
  <c r="E40" i="4"/>
  <c r="E38" i="4"/>
  <c r="E36" i="4"/>
  <c r="E34" i="4"/>
  <c r="E32" i="4"/>
  <c r="E30" i="4"/>
  <c r="E28" i="4"/>
  <c r="E26" i="4"/>
  <c r="E24" i="4"/>
  <c r="E22" i="4"/>
  <c r="E20" i="4"/>
  <c r="E18" i="4"/>
  <c r="E16" i="4"/>
  <c r="E14" i="4"/>
  <c r="J11" i="6" l="1"/>
  <c r="H11" i="3"/>
  <c r="H19" i="3"/>
  <c r="H27" i="3"/>
  <c r="H12" i="3"/>
  <c r="H20" i="3"/>
  <c r="H28" i="3"/>
  <c r="H34" i="3"/>
  <c r="H21" i="3"/>
  <c r="H29" i="3"/>
  <c r="H15" i="3"/>
  <c r="H23" i="3"/>
  <c r="H31" i="3"/>
  <c r="H17" i="3"/>
  <c r="H25" i="3"/>
  <c r="H33" i="3"/>
  <c r="H75" i="3"/>
  <c r="F75" i="3"/>
  <c r="G75" i="3"/>
  <c r="J75" i="3"/>
  <c r="I75" i="3"/>
  <c r="F77" i="3"/>
  <c r="G77" i="3"/>
  <c r="H77" i="3"/>
  <c r="I77" i="3"/>
  <c r="J77" i="3"/>
  <c r="F68" i="3"/>
  <c r="H68" i="3"/>
  <c r="F69" i="3"/>
  <c r="H69" i="3"/>
  <c r="H67" i="3"/>
  <c r="F67" i="3"/>
  <c r="G74" i="3"/>
  <c r="F74" i="3"/>
  <c r="J74" i="3"/>
  <c r="I74" i="3"/>
  <c r="H74" i="3"/>
  <c r="F66" i="3"/>
  <c r="H66" i="3"/>
  <c r="F78" i="3"/>
  <c r="G78" i="3"/>
  <c r="H78" i="3"/>
  <c r="I78" i="3"/>
  <c r="J78" i="3"/>
  <c r="I76" i="3"/>
  <c r="G76" i="3"/>
  <c r="H76" i="3"/>
  <c r="F76" i="3"/>
  <c r="J76" i="3"/>
  <c r="F73" i="3"/>
  <c r="J73" i="3"/>
  <c r="H73" i="3"/>
  <c r="I73" i="3"/>
  <c r="G73" i="3"/>
  <c r="H71" i="3"/>
  <c r="I71" i="3"/>
  <c r="J71" i="3"/>
  <c r="F71" i="3"/>
  <c r="G71" i="3"/>
  <c r="F70" i="3"/>
  <c r="H70" i="3"/>
  <c r="F72" i="3"/>
  <c r="G72" i="3"/>
  <c r="I72" i="3"/>
  <c r="J72" i="3"/>
  <c r="H72" i="3"/>
  <c r="F65" i="3"/>
  <c r="H65" i="3"/>
  <c r="J11" i="4"/>
  <c r="J11" i="5"/>
  <c r="J23" i="5"/>
  <c r="J24" i="5"/>
  <c r="J25" i="5"/>
  <c r="J26" i="5"/>
  <c r="J27" i="5"/>
  <c r="J28" i="5"/>
  <c r="J29" i="5"/>
  <c r="J30" i="5"/>
  <c r="J31" i="5"/>
  <c r="J32" i="5"/>
  <c r="J33" i="5"/>
  <c r="J34" i="5"/>
  <c r="J35" i="5"/>
  <c r="J36" i="5"/>
  <c r="J37" i="5"/>
  <c r="J38" i="5"/>
  <c r="J39" i="5"/>
  <c r="J40" i="5"/>
  <c r="J41" i="5"/>
  <c r="J42" i="5"/>
  <c r="J43" i="5"/>
  <c r="J44" i="5"/>
  <c r="J45" i="5"/>
  <c r="J46" i="5"/>
  <c r="J47" i="5"/>
  <c r="J48" i="5"/>
  <c r="J49" i="5"/>
  <c r="J50" i="5"/>
  <c r="J51" i="5"/>
  <c r="J52" i="5"/>
  <c r="J53" i="5"/>
  <c r="J54" i="5"/>
  <c r="J55" i="5"/>
  <c r="J56" i="5"/>
  <c r="J57" i="5"/>
  <c r="J58" i="5"/>
  <c r="J59" i="5"/>
  <c r="J60" i="5"/>
  <c r="J61" i="5"/>
  <c r="J62" i="5"/>
  <c r="J63" i="5"/>
  <c r="J64" i="5"/>
  <c r="J65" i="5"/>
  <c r="J66" i="5"/>
  <c r="J67" i="5"/>
  <c r="J68" i="5"/>
  <c r="J69" i="5"/>
  <c r="J70" i="5"/>
  <c r="G11" i="3"/>
  <c r="I11" i="3" s="1"/>
  <c r="F11" i="3"/>
  <c r="G11" i="5"/>
  <c r="I11" i="5" s="1"/>
  <c r="G11" i="4"/>
  <c r="I11" i="4" s="1"/>
  <c r="K11" i="6"/>
  <c r="G12" i="6" s="1"/>
  <c r="I12" i="6" s="1"/>
  <c r="J23" i="4"/>
  <c r="J18" i="4"/>
  <c r="J17" i="4"/>
  <c r="J20" i="4"/>
  <c r="J19" i="4"/>
  <c r="J22" i="4"/>
  <c r="J21" i="4"/>
  <c r="J14" i="4"/>
  <c r="J13" i="4"/>
  <c r="J16" i="4"/>
  <c r="J15" i="4"/>
  <c r="J12" i="4"/>
  <c r="H13" i="3"/>
  <c r="H35" i="3"/>
  <c r="H36" i="3"/>
  <c r="H37" i="3"/>
  <c r="H38" i="3"/>
  <c r="H39" i="3"/>
  <c r="H40" i="3"/>
  <c r="H41" i="3"/>
  <c r="H42" i="3"/>
  <c r="H43" i="3"/>
  <c r="H44" i="3"/>
  <c r="H45" i="3"/>
  <c r="H46" i="3"/>
  <c r="H47" i="3"/>
  <c r="H48" i="3"/>
  <c r="H49" i="3"/>
  <c r="H50" i="3"/>
  <c r="H51" i="3"/>
  <c r="H52" i="3"/>
  <c r="H53" i="3"/>
  <c r="H54" i="3"/>
  <c r="H55" i="3"/>
  <c r="H56" i="3"/>
  <c r="H57" i="3"/>
  <c r="H58" i="3"/>
  <c r="H59" i="3"/>
  <c r="H60" i="3"/>
  <c r="H61" i="3"/>
  <c r="H62" i="3"/>
  <c r="H63" i="3"/>
  <c r="H64" i="3"/>
  <c r="F11" i="5"/>
  <c r="F12" i="5"/>
  <c r="F13" i="5"/>
  <c r="F14" i="5"/>
  <c r="F15" i="5"/>
  <c r="F16" i="5"/>
  <c r="F17" i="5"/>
  <c r="F18" i="5"/>
  <c r="F19" i="5"/>
  <c r="F20" i="5"/>
  <c r="F21" i="5"/>
  <c r="F22" i="5"/>
  <c r="F23" i="5"/>
  <c r="F24" i="5"/>
  <c r="F25" i="5"/>
  <c r="F26" i="5"/>
  <c r="F27" i="5"/>
  <c r="F28" i="5"/>
  <c r="F29" i="5"/>
  <c r="F30" i="5"/>
  <c r="F31" i="5"/>
  <c r="F32" i="5"/>
  <c r="F33" i="5"/>
  <c r="F34" i="5"/>
  <c r="F35" i="5"/>
  <c r="F36" i="5"/>
  <c r="F37" i="5"/>
  <c r="F38" i="5"/>
  <c r="F39" i="5"/>
  <c r="F40" i="5"/>
  <c r="F41" i="5"/>
  <c r="F42" i="5"/>
  <c r="F43" i="5"/>
  <c r="F44" i="5"/>
  <c r="F45" i="5"/>
  <c r="F46" i="5"/>
  <c r="F47" i="5"/>
  <c r="F48" i="5"/>
  <c r="F49" i="5"/>
  <c r="F50" i="5"/>
  <c r="F51" i="5"/>
  <c r="F52" i="5"/>
  <c r="F53" i="5"/>
  <c r="F54" i="5"/>
  <c r="F55" i="5"/>
  <c r="F56" i="5"/>
  <c r="F57" i="5"/>
  <c r="F58" i="5"/>
  <c r="F59" i="5"/>
  <c r="F60" i="5"/>
  <c r="F61" i="5"/>
  <c r="F62" i="5"/>
  <c r="F63" i="5"/>
  <c r="F64" i="5"/>
  <c r="F65" i="5"/>
  <c r="F66" i="5"/>
  <c r="F67" i="5"/>
  <c r="F68" i="5"/>
  <c r="F69" i="5"/>
  <c r="F70" i="5"/>
  <c r="F12" i="3"/>
  <c r="F13" i="3"/>
  <c r="F14" i="3"/>
  <c r="F15" i="3"/>
  <c r="F16" i="3"/>
  <c r="F17" i="3"/>
  <c r="F18" i="3"/>
  <c r="F19" i="3"/>
  <c r="F20" i="3"/>
  <c r="F21" i="3"/>
  <c r="F22" i="3"/>
  <c r="F23" i="3"/>
  <c r="F24" i="3"/>
  <c r="F25" i="3"/>
  <c r="F26" i="3"/>
  <c r="F27" i="3"/>
  <c r="F28" i="3"/>
  <c r="F29" i="3"/>
  <c r="F30" i="3"/>
  <c r="F31" i="3"/>
  <c r="F32" i="3"/>
  <c r="F33" i="3"/>
  <c r="F34" i="3"/>
  <c r="F35" i="3"/>
  <c r="F36" i="3"/>
  <c r="F37" i="3"/>
  <c r="F38" i="3"/>
  <c r="F39" i="3"/>
  <c r="F40" i="3"/>
  <c r="F41" i="3"/>
  <c r="F42" i="3"/>
  <c r="F43" i="3"/>
  <c r="F44" i="3"/>
  <c r="F45" i="3"/>
  <c r="F46" i="3"/>
  <c r="F47" i="3"/>
  <c r="F48" i="3"/>
  <c r="F49" i="3"/>
  <c r="F50" i="3"/>
  <c r="F51" i="3"/>
  <c r="F52" i="3"/>
  <c r="F53" i="3"/>
  <c r="F54" i="3"/>
  <c r="F55" i="3"/>
  <c r="F56" i="3"/>
  <c r="F57" i="3"/>
  <c r="F58" i="3"/>
  <c r="F59" i="3"/>
  <c r="F60" i="3"/>
  <c r="F61" i="3"/>
  <c r="F62" i="3"/>
  <c r="F63" i="3"/>
  <c r="F64" i="3"/>
  <c r="F16" i="4"/>
  <c r="F20" i="4"/>
  <c r="F24" i="4"/>
  <c r="J24" i="4"/>
  <c r="F28" i="4"/>
  <c r="J28" i="4"/>
  <c r="J32" i="4"/>
  <c r="F32" i="4"/>
  <c r="J36" i="4"/>
  <c r="F36" i="4"/>
  <c r="J40" i="4"/>
  <c r="F40" i="4"/>
  <c r="F44" i="4"/>
  <c r="J44" i="4"/>
  <c r="F48" i="4"/>
  <c r="J48" i="4"/>
  <c r="F52" i="4"/>
  <c r="J52" i="4"/>
  <c r="F56" i="4"/>
  <c r="J56" i="4"/>
  <c r="F60" i="4"/>
  <c r="J60" i="4"/>
  <c r="F64" i="4"/>
  <c r="J64" i="4"/>
  <c r="F68" i="4"/>
  <c r="J68" i="4"/>
  <c r="F15" i="4"/>
  <c r="F19" i="4"/>
  <c r="F23" i="4"/>
  <c r="F27" i="4"/>
  <c r="J27" i="4"/>
  <c r="F31" i="4"/>
  <c r="J31" i="4"/>
  <c r="F35" i="4"/>
  <c r="J35" i="4"/>
  <c r="F39" i="4"/>
  <c r="J39" i="4"/>
  <c r="F43" i="4"/>
  <c r="J43" i="4"/>
  <c r="F47" i="4"/>
  <c r="J47" i="4"/>
  <c r="F51" i="4"/>
  <c r="J51" i="4"/>
  <c r="F55" i="4"/>
  <c r="J55" i="4"/>
  <c r="F59" i="4"/>
  <c r="J59" i="4"/>
  <c r="F63" i="4"/>
  <c r="J63" i="4"/>
  <c r="F67" i="4"/>
  <c r="J67" i="4"/>
  <c r="F14" i="4"/>
  <c r="F18" i="4"/>
  <c r="F22" i="4"/>
  <c r="F26" i="4"/>
  <c r="J26" i="4"/>
  <c r="J30" i="4"/>
  <c r="F30" i="4"/>
  <c r="J34" i="4"/>
  <c r="F34" i="4"/>
  <c r="J38" i="4"/>
  <c r="F38" i="4"/>
  <c r="F42" i="4"/>
  <c r="J42" i="4"/>
  <c r="F46" i="4"/>
  <c r="J46" i="4"/>
  <c r="F50" i="4"/>
  <c r="J50" i="4"/>
  <c r="F54" i="4"/>
  <c r="J54" i="4"/>
  <c r="F58" i="4"/>
  <c r="J58" i="4"/>
  <c r="F62" i="4"/>
  <c r="J62" i="4"/>
  <c r="F66" i="4"/>
  <c r="J66" i="4"/>
  <c r="F70" i="4"/>
  <c r="J70" i="4"/>
  <c r="F13" i="4"/>
  <c r="F17" i="4"/>
  <c r="F21" i="4"/>
  <c r="F25" i="4"/>
  <c r="J25" i="4"/>
  <c r="F29" i="4"/>
  <c r="J29" i="4"/>
  <c r="F33" i="4"/>
  <c r="J33" i="4"/>
  <c r="F37" i="4"/>
  <c r="J37" i="4"/>
  <c r="F41" i="4"/>
  <c r="J41" i="4"/>
  <c r="F45" i="4"/>
  <c r="J45" i="4"/>
  <c r="F49" i="4"/>
  <c r="J49" i="4"/>
  <c r="F53" i="4"/>
  <c r="J53" i="4"/>
  <c r="F57" i="4"/>
  <c r="J57" i="4"/>
  <c r="F61" i="4"/>
  <c r="J61" i="4"/>
  <c r="F65" i="4"/>
  <c r="J65" i="4"/>
  <c r="F69" i="4"/>
  <c r="J69" i="4"/>
  <c r="F11" i="4"/>
  <c r="J11" i="3" l="1"/>
  <c r="K71" i="3"/>
  <c r="K77" i="3"/>
  <c r="K75" i="3"/>
  <c r="K73" i="3"/>
  <c r="H11" i="5"/>
  <c r="K11" i="5" s="1"/>
  <c r="G12" i="5" s="1"/>
  <c r="I12" i="5" s="1"/>
  <c r="K76" i="3"/>
  <c r="K78" i="3"/>
  <c r="K74" i="3"/>
  <c r="K72" i="3"/>
  <c r="H11" i="4"/>
  <c r="K11" i="4" s="1"/>
  <c r="G12" i="4" s="1"/>
  <c r="J12" i="6"/>
  <c r="K12" i="6"/>
  <c r="G13" i="6" s="1"/>
  <c r="H12" i="5" l="1"/>
  <c r="K13" i="6"/>
  <c r="G14" i="6" s="1"/>
  <c r="I14" i="6" s="1"/>
  <c r="J14" i="6" s="1"/>
  <c r="I13" i="6"/>
  <c r="I12" i="4"/>
  <c r="K11" i="3"/>
  <c r="H12" i="4" l="1"/>
  <c r="K12" i="4" s="1"/>
  <c r="G13" i="4" s="1"/>
  <c r="I13" i="4" s="1"/>
  <c r="J13" i="6"/>
  <c r="G12" i="3"/>
  <c r="I12" i="3" s="1"/>
  <c r="K14" i="6"/>
  <c r="G15" i="6" s="1"/>
  <c r="I15" i="6" s="1"/>
  <c r="K12" i="5"/>
  <c r="G13" i="5" s="1"/>
  <c r="I13" i="5" s="1"/>
  <c r="H13" i="4" l="1"/>
  <c r="K13" i="4" s="1"/>
  <c r="G14" i="4" s="1"/>
  <c r="I14" i="4" s="1"/>
  <c r="J15" i="6"/>
  <c r="H13" i="5"/>
  <c r="K13" i="5" s="1"/>
  <c r="G14" i="5" s="1"/>
  <c r="I14" i="5" s="1"/>
  <c r="J12" i="3"/>
  <c r="K12" i="3"/>
  <c r="G13" i="3" s="1"/>
  <c r="I13" i="3" s="1"/>
  <c r="K15" i="6"/>
  <c r="K13" i="3" l="1"/>
  <c r="G14" i="3" s="1"/>
  <c r="I14" i="3" s="1"/>
  <c r="H14" i="4"/>
  <c r="K14" i="4" s="1"/>
  <c r="G15" i="4" s="1"/>
  <c r="I15" i="4" s="1"/>
  <c r="H14" i="5"/>
  <c r="K14" i="5" s="1"/>
  <c r="G15" i="5" s="1"/>
  <c r="I15" i="5" s="1"/>
  <c r="J13" i="3"/>
  <c r="G16" i="6"/>
  <c r="J14" i="3" l="1"/>
  <c r="K14" i="3"/>
  <c r="G15" i="3" s="1"/>
  <c r="I15" i="3" s="1"/>
  <c r="J15" i="3" s="1"/>
  <c r="H15" i="4"/>
  <c r="K15" i="4" s="1"/>
  <c r="G16" i="4" s="1"/>
  <c r="I16" i="4" s="1"/>
  <c r="H15" i="5"/>
  <c r="K15" i="5" s="1"/>
  <c r="G16" i="5" s="1"/>
  <c r="I16" i="5" s="1"/>
  <c r="K16" i="6"/>
  <c r="G17" i="6" s="1"/>
  <c r="I16" i="6"/>
  <c r="K15" i="3" l="1"/>
  <c r="G16" i="3" s="1"/>
  <c r="I16" i="3" s="1"/>
  <c r="J16" i="3" s="1"/>
  <c r="H16" i="4"/>
  <c r="K16" i="4" s="1"/>
  <c r="G17" i="4" s="1"/>
  <c r="I17" i="4" s="1"/>
  <c r="J16" i="6"/>
  <c r="H16" i="5"/>
  <c r="K16" i="5" s="1"/>
  <c r="G17" i="5" s="1"/>
  <c r="I17" i="5" s="1"/>
  <c r="K17" i="6"/>
  <c r="G18" i="6" s="1"/>
  <c r="I17" i="6"/>
  <c r="K16" i="3" l="1"/>
  <c r="G17" i="3" s="1"/>
  <c r="I17" i="3" s="1"/>
  <c r="J17" i="3" s="1"/>
  <c r="H17" i="4"/>
  <c r="K17" i="4" s="1"/>
  <c r="G18" i="4" s="1"/>
  <c r="I18" i="4" s="1"/>
  <c r="J17" i="6"/>
  <c r="H17" i="5"/>
  <c r="K18" i="6"/>
  <c r="G19" i="6" s="1"/>
  <c r="I18" i="6"/>
  <c r="K17" i="3" l="1"/>
  <c r="G18" i="3" s="1"/>
  <c r="I18" i="3" s="1"/>
  <c r="J18" i="3" s="1"/>
  <c r="H18" i="4"/>
  <c r="K18" i="4" s="1"/>
  <c r="G19" i="4" s="1"/>
  <c r="I19" i="4" s="1"/>
  <c r="J18" i="6"/>
  <c r="K19" i="6"/>
  <c r="G20" i="6" s="1"/>
  <c r="I19" i="6"/>
  <c r="K18" i="3" l="1"/>
  <c r="G19" i="3" s="1"/>
  <c r="I19" i="3" s="1"/>
  <c r="J19" i="3" s="1"/>
  <c r="H19" i="4"/>
  <c r="K19" i="4" s="1"/>
  <c r="G20" i="4" s="1"/>
  <c r="I20" i="4" s="1"/>
  <c r="J19" i="6"/>
  <c r="K20" i="6"/>
  <c r="G21" i="6" s="1"/>
  <c r="I20" i="6"/>
  <c r="K19" i="3" l="1"/>
  <c r="G20" i="3" s="1"/>
  <c r="I20" i="3" s="1"/>
  <c r="J20" i="3" s="1"/>
  <c r="H20" i="4"/>
  <c r="K20" i="4" s="1"/>
  <c r="G21" i="4" s="1"/>
  <c r="I21" i="4" s="1"/>
  <c r="J20" i="6"/>
  <c r="K21" i="6"/>
  <c r="G22" i="6" s="1"/>
  <c r="I21" i="6"/>
  <c r="K20" i="3" l="1"/>
  <c r="G21" i="3" s="1"/>
  <c r="I21" i="3" s="1"/>
  <c r="J21" i="3" s="1"/>
  <c r="H21" i="4"/>
  <c r="K21" i="4" s="1"/>
  <c r="G22" i="4" s="1"/>
  <c r="I22" i="4" s="1"/>
  <c r="J21" i="6"/>
  <c r="I22" i="6"/>
  <c r="H22" i="6"/>
  <c r="K22" i="6" s="1"/>
  <c r="G23" i="6" s="1"/>
  <c r="K21" i="3" l="1"/>
  <c r="G22" i="3" s="1"/>
  <c r="I22" i="3" s="1"/>
  <c r="J22" i="3" s="1"/>
  <c r="H22" i="4"/>
  <c r="K22" i="4" s="1"/>
  <c r="G23" i="4" s="1"/>
  <c r="I23" i="4" s="1"/>
  <c r="J22" i="6"/>
  <c r="K23" i="6"/>
  <c r="G24" i="6" s="1"/>
  <c r="I23" i="6"/>
  <c r="K22" i="3" l="1"/>
  <c r="G23" i="3" s="1"/>
  <c r="I23" i="3" s="1"/>
  <c r="J23" i="3" s="1"/>
  <c r="H23" i="4"/>
  <c r="K23" i="4" s="1"/>
  <c r="G24" i="4" s="1"/>
  <c r="I24" i="4" s="1"/>
  <c r="J23" i="6"/>
  <c r="K24" i="6"/>
  <c r="G25" i="6" s="1"/>
  <c r="I24" i="6"/>
  <c r="K23" i="3" l="1"/>
  <c r="G24" i="3" s="1"/>
  <c r="I24" i="3" s="1"/>
  <c r="J24" i="3" s="1"/>
  <c r="H24" i="4"/>
  <c r="K24" i="4" s="1"/>
  <c r="G25" i="4" s="1"/>
  <c r="I25" i="4" s="1"/>
  <c r="J24" i="6"/>
  <c r="I25" i="6"/>
  <c r="K25" i="6"/>
  <c r="G26" i="6" s="1"/>
  <c r="K24" i="3" l="1"/>
  <c r="G25" i="3" s="1"/>
  <c r="I25" i="3" s="1"/>
  <c r="J25" i="3" s="1"/>
  <c r="H25" i="4"/>
  <c r="K25" i="4" s="1"/>
  <c r="G26" i="4" s="1"/>
  <c r="I26" i="4" s="1"/>
  <c r="J25" i="6"/>
  <c r="I26" i="6"/>
  <c r="K26" i="6"/>
  <c r="G27" i="6" s="1"/>
  <c r="K25" i="3" l="1"/>
  <c r="G26" i="3" s="1"/>
  <c r="I26" i="3" s="1"/>
  <c r="J26" i="3" s="1"/>
  <c r="H26" i="4"/>
  <c r="K26" i="4" s="1"/>
  <c r="G27" i="4" s="1"/>
  <c r="I27" i="4" s="1"/>
  <c r="J26" i="6"/>
  <c r="I27" i="6"/>
  <c r="K27" i="6"/>
  <c r="G28" i="6" s="1"/>
  <c r="K26" i="3" l="1"/>
  <c r="G27" i="3" s="1"/>
  <c r="I27" i="3" s="1"/>
  <c r="J27" i="3" s="1"/>
  <c r="H27" i="4"/>
  <c r="K27" i="4" s="1"/>
  <c r="G28" i="4" s="1"/>
  <c r="I28" i="4" s="1"/>
  <c r="J27" i="6"/>
  <c r="I28" i="6"/>
  <c r="K28" i="6"/>
  <c r="G29" i="6" s="1"/>
  <c r="K27" i="3" l="1"/>
  <c r="G28" i="3" s="1"/>
  <c r="I28" i="3" s="1"/>
  <c r="J28" i="3" s="1"/>
  <c r="H28" i="4"/>
  <c r="K28" i="4" s="1"/>
  <c r="G29" i="4" s="1"/>
  <c r="I29" i="4" s="1"/>
  <c r="J28" i="6"/>
  <c r="I29" i="6"/>
  <c r="K29" i="6"/>
  <c r="G30" i="6" s="1"/>
  <c r="K28" i="3" l="1"/>
  <c r="G29" i="3" s="1"/>
  <c r="I29" i="3" s="1"/>
  <c r="J29" i="3" s="1"/>
  <c r="H29" i="4"/>
  <c r="K29" i="4" s="1"/>
  <c r="G30" i="4" s="1"/>
  <c r="I30" i="4" s="1"/>
  <c r="J29" i="6"/>
  <c r="K30" i="6"/>
  <c r="G31" i="6" s="1"/>
  <c r="I30" i="6"/>
  <c r="K29" i="3" l="1"/>
  <c r="G30" i="3" s="1"/>
  <c r="I30" i="3" s="1"/>
  <c r="J30" i="3" s="1"/>
  <c r="H30" i="4"/>
  <c r="K30" i="4" s="1"/>
  <c r="G31" i="4" s="1"/>
  <c r="I31" i="4" s="1"/>
  <c r="J30" i="6"/>
  <c r="K31" i="6"/>
  <c r="G32" i="6" s="1"/>
  <c r="I31" i="6"/>
  <c r="K30" i="3" l="1"/>
  <c r="G31" i="3" s="1"/>
  <c r="I31" i="3" s="1"/>
  <c r="J31" i="3" s="1"/>
  <c r="H31" i="4"/>
  <c r="K31" i="4" s="1"/>
  <c r="G32" i="4" s="1"/>
  <c r="I32" i="4" s="1"/>
  <c r="J31" i="6"/>
  <c r="I32" i="6"/>
  <c r="K32" i="6"/>
  <c r="G33" i="6" s="1"/>
  <c r="K31" i="3" l="1"/>
  <c r="G32" i="3" s="1"/>
  <c r="I32" i="3" s="1"/>
  <c r="J32" i="3" s="1"/>
  <c r="H32" i="4"/>
  <c r="K32" i="4" s="1"/>
  <c r="G33" i="4" s="1"/>
  <c r="I33" i="4" s="1"/>
  <c r="J32" i="6"/>
  <c r="I33" i="6"/>
  <c r="K33" i="6"/>
  <c r="G34" i="6" s="1"/>
  <c r="K32" i="3" l="1"/>
  <c r="G33" i="3" s="1"/>
  <c r="I33" i="3" s="1"/>
  <c r="J33" i="3" s="1"/>
  <c r="H33" i="4"/>
  <c r="K33" i="4" s="1"/>
  <c r="G34" i="4" s="1"/>
  <c r="I34" i="4" s="1"/>
  <c r="J33" i="6"/>
  <c r="H34" i="6"/>
  <c r="K34" i="6" s="1"/>
  <c r="G35" i="6" s="1"/>
  <c r="I34" i="6"/>
  <c r="K33" i="3" l="1"/>
  <c r="G34" i="3" s="1"/>
  <c r="I34" i="3" s="1"/>
  <c r="J34" i="3" s="1"/>
  <c r="H34" i="4"/>
  <c r="K34" i="4" s="1"/>
  <c r="G35" i="4" s="1"/>
  <c r="I35" i="4" s="1"/>
  <c r="J34" i="6"/>
  <c r="I35" i="6"/>
  <c r="K35" i="6"/>
  <c r="G36" i="6" s="1"/>
  <c r="K34" i="3" l="1"/>
  <c r="G35" i="3" s="1"/>
  <c r="I35" i="3" s="1"/>
  <c r="J35" i="3" s="1"/>
  <c r="H35" i="4"/>
  <c r="K35" i="4" s="1"/>
  <c r="G36" i="4" s="1"/>
  <c r="I36" i="4" s="1"/>
  <c r="J35" i="6"/>
  <c r="I36" i="6"/>
  <c r="K36" i="6"/>
  <c r="G37" i="6" s="1"/>
  <c r="K35" i="3" l="1"/>
  <c r="G36" i="3" s="1"/>
  <c r="I36" i="3" s="1"/>
  <c r="J36" i="3" s="1"/>
  <c r="H36" i="4"/>
  <c r="K36" i="4" s="1"/>
  <c r="G37" i="4" s="1"/>
  <c r="I37" i="4" s="1"/>
  <c r="J36" i="6"/>
  <c r="I37" i="6"/>
  <c r="K37" i="6"/>
  <c r="G38" i="6" s="1"/>
  <c r="K36" i="3" l="1"/>
  <c r="G37" i="3" s="1"/>
  <c r="I37" i="3" s="1"/>
  <c r="J37" i="3" s="1"/>
  <c r="H37" i="4"/>
  <c r="K37" i="4" s="1"/>
  <c r="G38" i="4" s="1"/>
  <c r="I38" i="4" s="1"/>
  <c r="J37" i="6"/>
  <c r="I38" i="6"/>
  <c r="K38" i="6"/>
  <c r="G39" i="6" s="1"/>
  <c r="K37" i="3" l="1"/>
  <c r="G38" i="3" s="1"/>
  <c r="I38" i="3" s="1"/>
  <c r="J38" i="3" s="1"/>
  <c r="H38" i="4"/>
  <c r="K38" i="4" s="1"/>
  <c r="G39" i="4" s="1"/>
  <c r="I39" i="4" s="1"/>
  <c r="J38" i="6"/>
  <c r="I39" i="6"/>
  <c r="K39" i="6"/>
  <c r="G40" i="6" s="1"/>
  <c r="K38" i="3" l="1"/>
  <c r="G39" i="3" s="1"/>
  <c r="I39" i="3" s="1"/>
  <c r="J39" i="3" s="1"/>
  <c r="H39" i="4"/>
  <c r="K39" i="4" s="1"/>
  <c r="G40" i="4" s="1"/>
  <c r="I40" i="4" s="1"/>
  <c r="J39" i="6"/>
  <c r="I40" i="6"/>
  <c r="K40" i="6"/>
  <c r="G41" i="6" s="1"/>
  <c r="K39" i="3" l="1"/>
  <c r="G40" i="3" s="1"/>
  <c r="I40" i="3" s="1"/>
  <c r="J40" i="3" s="1"/>
  <c r="H40" i="4"/>
  <c r="K40" i="4" s="1"/>
  <c r="G41" i="4" s="1"/>
  <c r="I41" i="4" s="1"/>
  <c r="J40" i="6"/>
  <c r="I41" i="6"/>
  <c r="K41" i="6"/>
  <c r="G42" i="6" s="1"/>
  <c r="K40" i="3" l="1"/>
  <c r="G41" i="3" s="1"/>
  <c r="I41" i="3" s="1"/>
  <c r="J41" i="3" s="1"/>
  <c r="H41" i="4"/>
  <c r="K41" i="4" s="1"/>
  <c r="G42" i="4" s="1"/>
  <c r="I42" i="4" s="1"/>
  <c r="J41" i="6"/>
  <c r="I42" i="6"/>
  <c r="K42" i="6"/>
  <c r="G43" i="6" s="1"/>
  <c r="K41" i="3" l="1"/>
  <c r="G42" i="3" s="1"/>
  <c r="I42" i="3" s="1"/>
  <c r="J42" i="3" s="1"/>
  <c r="H42" i="4"/>
  <c r="K42" i="4" s="1"/>
  <c r="G43" i="4" s="1"/>
  <c r="I43" i="4" s="1"/>
  <c r="J42" i="6"/>
  <c r="I43" i="6"/>
  <c r="K43" i="6"/>
  <c r="G44" i="6" s="1"/>
  <c r="K42" i="3" l="1"/>
  <c r="G43" i="3" s="1"/>
  <c r="I43" i="3" s="1"/>
  <c r="J43" i="3" s="1"/>
  <c r="H43" i="4"/>
  <c r="K43" i="4" s="1"/>
  <c r="G44" i="4" s="1"/>
  <c r="I44" i="4" s="1"/>
  <c r="J43" i="6"/>
  <c r="I44" i="6"/>
  <c r="K44" i="6"/>
  <c r="G45" i="6" s="1"/>
  <c r="K43" i="3" l="1"/>
  <c r="G44" i="3" s="1"/>
  <c r="I44" i="3" s="1"/>
  <c r="J44" i="3" s="1"/>
  <c r="H44" i="4"/>
  <c r="K44" i="4" s="1"/>
  <c r="G45" i="4" s="1"/>
  <c r="I45" i="4" s="1"/>
  <c r="J44" i="6"/>
  <c r="I45" i="6"/>
  <c r="K45" i="6"/>
  <c r="G46" i="6" s="1"/>
  <c r="H46" i="6" s="1"/>
  <c r="K44" i="3" l="1"/>
  <c r="G45" i="3" s="1"/>
  <c r="I45" i="3" s="1"/>
  <c r="J45" i="3" s="1"/>
  <c r="H45" i="4"/>
  <c r="K45" i="4" s="1"/>
  <c r="G46" i="4" s="1"/>
  <c r="I46" i="4" s="1"/>
  <c r="J45" i="6"/>
  <c r="I46" i="6"/>
  <c r="K46" i="6"/>
  <c r="G47" i="6" s="1"/>
  <c r="K45" i="3" l="1"/>
  <c r="G46" i="3" s="1"/>
  <c r="I46" i="3" s="1"/>
  <c r="J46" i="3" s="1"/>
  <c r="H46" i="4"/>
  <c r="K46" i="4" s="1"/>
  <c r="G47" i="4" s="1"/>
  <c r="I47" i="4" s="1"/>
  <c r="J46" i="6"/>
  <c r="I47" i="6"/>
  <c r="K47" i="6"/>
  <c r="G48" i="6" s="1"/>
  <c r="K46" i="3" l="1"/>
  <c r="G47" i="3" s="1"/>
  <c r="I47" i="3" s="1"/>
  <c r="J47" i="3" s="1"/>
  <c r="H47" i="4"/>
  <c r="K47" i="4" s="1"/>
  <c r="G48" i="4" s="1"/>
  <c r="I48" i="4" s="1"/>
  <c r="J47" i="6"/>
  <c r="I48" i="6"/>
  <c r="K48" i="6"/>
  <c r="G49" i="6" s="1"/>
  <c r="K47" i="3" l="1"/>
  <c r="G48" i="3" s="1"/>
  <c r="I48" i="3" s="1"/>
  <c r="H48" i="4"/>
  <c r="K48" i="4" s="1"/>
  <c r="G49" i="4" s="1"/>
  <c r="I49" i="4" s="1"/>
  <c r="J48" i="6"/>
  <c r="J48" i="3"/>
  <c r="I49" i="6"/>
  <c r="K49" i="6"/>
  <c r="G50" i="6" s="1"/>
  <c r="K48" i="3" l="1"/>
  <c r="G49" i="3" s="1"/>
  <c r="I49" i="3" s="1"/>
  <c r="H49" i="4"/>
  <c r="K49" i="4" s="1"/>
  <c r="G50" i="4" s="1"/>
  <c r="I50" i="4" s="1"/>
  <c r="J49" i="6"/>
  <c r="J49" i="3"/>
  <c r="I50" i="6"/>
  <c r="K50" i="6"/>
  <c r="G51" i="6" s="1"/>
  <c r="K49" i="3" l="1"/>
  <c r="G50" i="3" s="1"/>
  <c r="I50" i="3" s="1"/>
  <c r="J50" i="3" s="1"/>
  <c r="H50" i="4"/>
  <c r="K50" i="4" s="1"/>
  <c r="G51" i="4" s="1"/>
  <c r="I51" i="4" s="1"/>
  <c r="J50" i="6"/>
  <c r="I51" i="6"/>
  <c r="K51" i="6"/>
  <c r="G52" i="6" s="1"/>
  <c r="K50" i="3" l="1"/>
  <c r="G51" i="3" s="1"/>
  <c r="I51" i="3" s="1"/>
  <c r="H51" i="4"/>
  <c r="K51" i="4" s="1"/>
  <c r="G52" i="4" s="1"/>
  <c r="I52" i="4" s="1"/>
  <c r="J51" i="6"/>
  <c r="J51" i="3"/>
  <c r="I52" i="6"/>
  <c r="K52" i="6"/>
  <c r="G53" i="6" s="1"/>
  <c r="K51" i="3" l="1"/>
  <c r="G52" i="3" s="1"/>
  <c r="I52" i="3" s="1"/>
  <c r="H52" i="4"/>
  <c r="K52" i="4" s="1"/>
  <c r="G53" i="4" s="1"/>
  <c r="I53" i="4" s="1"/>
  <c r="J52" i="6"/>
  <c r="J52" i="3"/>
  <c r="I53" i="6"/>
  <c r="K53" i="6"/>
  <c r="G54" i="6" s="1"/>
  <c r="K52" i="3" l="1"/>
  <c r="G53" i="3" s="1"/>
  <c r="I53" i="3" s="1"/>
  <c r="H53" i="4"/>
  <c r="K53" i="4" s="1"/>
  <c r="G54" i="4" s="1"/>
  <c r="I54" i="4" s="1"/>
  <c r="J53" i="6"/>
  <c r="J53" i="3"/>
  <c r="I54" i="6"/>
  <c r="K54" i="6"/>
  <c r="G55" i="6" s="1"/>
  <c r="K53" i="3" l="1"/>
  <c r="G54" i="3" s="1"/>
  <c r="I54" i="3" s="1"/>
  <c r="H54" i="4"/>
  <c r="K54" i="4" s="1"/>
  <c r="G55" i="4" s="1"/>
  <c r="I55" i="4" s="1"/>
  <c r="J54" i="6"/>
  <c r="J54" i="3"/>
  <c r="I55" i="6"/>
  <c r="K55" i="6"/>
  <c r="G56" i="6" s="1"/>
  <c r="K54" i="3" l="1"/>
  <c r="G55" i="3" s="1"/>
  <c r="I55" i="3" s="1"/>
  <c r="H55" i="4"/>
  <c r="K55" i="4" s="1"/>
  <c r="G56" i="4" s="1"/>
  <c r="I56" i="4" s="1"/>
  <c r="J55" i="6"/>
  <c r="J55" i="3"/>
  <c r="I56" i="6"/>
  <c r="K56" i="6"/>
  <c r="G57" i="6" s="1"/>
  <c r="K55" i="3" l="1"/>
  <c r="G56" i="3" s="1"/>
  <c r="I56" i="3" s="1"/>
  <c r="H56" i="4"/>
  <c r="K56" i="4" s="1"/>
  <c r="G57" i="4" s="1"/>
  <c r="I57" i="4" s="1"/>
  <c r="J56" i="6"/>
  <c r="J56" i="3"/>
  <c r="I57" i="6"/>
  <c r="K57" i="6"/>
  <c r="G58" i="6" s="1"/>
  <c r="K56" i="3"/>
  <c r="G57" i="3" s="1"/>
  <c r="I57" i="3" s="1"/>
  <c r="H57" i="4" l="1"/>
  <c r="K57" i="4" s="1"/>
  <c r="G58" i="4" s="1"/>
  <c r="I58" i="4" s="1"/>
  <c r="J57" i="6"/>
  <c r="J57" i="3"/>
  <c r="I58" i="6"/>
  <c r="H58" i="6"/>
  <c r="K57" i="3"/>
  <c r="G58" i="3" s="1"/>
  <c r="I58" i="3" s="1"/>
  <c r="J58" i="6" l="1"/>
  <c r="H58" i="4"/>
  <c r="K58" i="4" s="1"/>
  <c r="G59" i="4" s="1"/>
  <c r="I59" i="4" s="1"/>
  <c r="J58" i="3"/>
  <c r="K58" i="6"/>
  <c r="G59" i="6" s="1"/>
  <c r="K58" i="3"/>
  <c r="G59" i="3" s="1"/>
  <c r="I59" i="3" s="1"/>
  <c r="H59" i="4" l="1"/>
  <c r="K59" i="4" s="1"/>
  <c r="G60" i="4" s="1"/>
  <c r="I60" i="4" s="1"/>
  <c r="J59" i="3"/>
  <c r="K59" i="6"/>
  <c r="G60" i="6" s="1"/>
  <c r="I59" i="6"/>
  <c r="K59" i="3"/>
  <c r="G60" i="3" s="1"/>
  <c r="I60" i="3" s="1"/>
  <c r="H60" i="4" l="1"/>
  <c r="K60" i="4" s="1"/>
  <c r="G61" i="4" s="1"/>
  <c r="I61" i="4" s="1"/>
  <c r="J59" i="6"/>
  <c r="J60" i="3"/>
  <c r="K60" i="6"/>
  <c r="G61" i="6" s="1"/>
  <c r="I60" i="6"/>
  <c r="K60" i="3"/>
  <c r="G61" i="3" s="1"/>
  <c r="I61" i="3" s="1"/>
  <c r="H61" i="4" l="1"/>
  <c r="K61" i="4" s="1"/>
  <c r="G62" i="4" s="1"/>
  <c r="I62" i="4" s="1"/>
  <c r="J60" i="6"/>
  <c r="J61" i="3"/>
  <c r="K61" i="6"/>
  <c r="G62" i="6" s="1"/>
  <c r="I61" i="6"/>
  <c r="K61" i="3"/>
  <c r="G62" i="3" s="1"/>
  <c r="I62" i="3" s="1"/>
  <c r="H62" i="4" l="1"/>
  <c r="K62" i="4" s="1"/>
  <c r="G63" i="4" s="1"/>
  <c r="I63" i="4" s="1"/>
  <c r="J61" i="6"/>
  <c r="J62" i="3"/>
  <c r="K62" i="6"/>
  <c r="G63" i="6" s="1"/>
  <c r="I62" i="6"/>
  <c r="K62" i="3"/>
  <c r="G63" i="3" s="1"/>
  <c r="I63" i="3" s="1"/>
  <c r="H63" i="4" l="1"/>
  <c r="K63" i="4" s="1"/>
  <c r="G64" i="4" s="1"/>
  <c r="I64" i="4" s="1"/>
  <c r="J62" i="6"/>
  <c r="J63" i="3"/>
  <c r="I63" i="6"/>
  <c r="K63" i="6"/>
  <c r="G64" i="6" s="1"/>
  <c r="K63" i="3"/>
  <c r="G64" i="3" s="1"/>
  <c r="I64" i="3" s="1"/>
  <c r="H64" i="4" l="1"/>
  <c r="K64" i="4" s="1"/>
  <c r="G65" i="4" s="1"/>
  <c r="I65" i="4" s="1"/>
  <c r="J63" i="6"/>
  <c r="J64" i="3"/>
  <c r="I64" i="6"/>
  <c r="K64" i="6"/>
  <c r="G65" i="6" s="1"/>
  <c r="K64" i="3"/>
  <c r="G65" i="3" s="1"/>
  <c r="I65" i="3" l="1"/>
  <c r="J65" i="3" s="1"/>
  <c r="K65" i="3"/>
  <c r="G66" i="3" s="1"/>
  <c r="H65" i="4"/>
  <c r="K65" i="4" s="1"/>
  <c r="G66" i="4" s="1"/>
  <c r="I66" i="4" s="1"/>
  <c r="J64" i="6"/>
  <c r="I65" i="6"/>
  <c r="K65" i="6"/>
  <c r="G66" i="6" s="1"/>
  <c r="I66" i="3" l="1"/>
  <c r="J66" i="3" s="1"/>
  <c r="K66" i="3"/>
  <c r="G67" i="3" s="1"/>
  <c r="H66" i="4"/>
  <c r="K66" i="4" s="1"/>
  <c r="G67" i="4" s="1"/>
  <c r="I67" i="4" s="1"/>
  <c r="J65" i="6"/>
  <c r="I66" i="6"/>
  <c r="K66" i="6"/>
  <c r="G67" i="6" s="1"/>
  <c r="I67" i="3" l="1"/>
  <c r="J67" i="3" s="1"/>
  <c r="K67" i="3"/>
  <c r="G68" i="3" s="1"/>
  <c r="H67" i="4"/>
  <c r="K67" i="4" s="1"/>
  <c r="G68" i="4" s="1"/>
  <c r="I68" i="4" s="1"/>
  <c r="J66" i="6"/>
  <c r="I67" i="6"/>
  <c r="K67" i="6"/>
  <c r="G68" i="6" s="1"/>
  <c r="I68" i="3" l="1"/>
  <c r="J68" i="3" s="1"/>
  <c r="K68" i="3"/>
  <c r="G69" i="3" s="1"/>
  <c r="H68" i="4"/>
  <c r="K68" i="4" s="1"/>
  <c r="G69" i="4" s="1"/>
  <c r="I69" i="4" s="1"/>
  <c r="J67" i="6"/>
  <c r="I68" i="6"/>
  <c r="K68" i="6"/>
  <c r="G69" i="6" s="1"/>
  <c r="I69" i="3" l="1"/>
  <c r="J69" i="3" s="1"/>
  <c r="K69" i="3"/>
  <c r="G70" i="3" s="1"/>
  <c r="H69" i="4"/>
  <c r="K69" i="4" s="1"/>
  <c r="G70" i="4" s="1"/>
  <c r="I70" i="4" s="1"/>
  <c r="J68" i="6"/>
  <c r="I69" i="6"/>
  <c r="K69" i="6"/>
  <c r="G70" i="6" s="1"/>
  <c r="I70" i="3" l="1"/>
  <c r="K70" i="3"/>
  <c r="H70" i="4"/>
  <c r="K70" i="4" s="1"/>
  <c r="L6" i="4"/>
  <c r="L7" i="4" s="1"/>
  <c r="J69" i="6"/>
  <c r="I70" i="6"/>
  <c r="L5" i="6" s="1"/>
  <c r="L6" i="6" s="1"/>
  <c r="H70" i="6"/>
  <c r="K70" i="6" s="1"/>
  <c r="K17" i="5"/>
  <c r="G18" i="5" s="1"/>
  <c r="I18" i="5" s="1"/>
  <c r="J70" i="3" l="1"/>
  <c r="L6" i="3"/>
  <c r="L7" i="3" s="1"/>
  <c r="H18" i="5"/>
  <c r="K18" i="5" s="1"/>
  <c r="G19" i="5" s="1"/>
  <c r="I19" i="5" s="1"/>
  <c r="J70" i="6"/>
  <c r="H19" i="5" l="1"/>
  <c r="K19" i="5" s="1"/>
  <c r="G20" i="5" s="1"/>
  <c r="I20" i="5" s="1"/>
  <c r="H20" i="5" l="1"/>
  <c r="K20" i="5" s="1"/>
  <c r="G21" i="5" s="1"/>
  <c r="I21" i="5" s="1"/>
  <c r="H21" i="5" l="1"/>
  <c r="K21" i="5" s="1"/>
  <c r="G22" i="5" s="1"/>
  <c r="I22" i="5" s="1"/>
  <c r="H22" i="5" l="1"/>
  <c r="K22" i="5" s="1"/>
  <c r="G23" i="5" s="1"/>
  <c r="I23" i="5" s="1"/>
  <c r="H23" i="5" l="1"/>
  <c r="K23" i="5" s="1"/>
  <c r="G24" i="5" s="1"/>
  <c r="I24" i="5" s="1"/>
  <c r="H24" i="5" l="1"/>
  <c r="K24" i="5" s="1"/>
  <c r="G25" i="5" s="1"/>
  <c r="I25" i="5" s="1"/>
  <c r="H25" i="5" l="1"/>
  <c r="K25" i="5" s="1"/>
  <c r="G26" i="5" s="1"/>
  <c r="I26" i="5" s="1"/>
  <c r="H26" i="5" l="1"/>
  <c r="K26" i="5" s="1"/>
  <c r="G27" i="5" s="1"/>
  <c r="I27" i="5" s="1"/>
  <c r="H27" i="5" l="1"/>
  <c r="K27" i="5" s="1"/>
  <c r="G28" i="5" s="1"/>
  <c r="I28" i="5" s="1"/>
  <c r="H28" i="5" l="1"/>
  <c r="K28" i="5" s="1"/>
  <c r="G29" i="5" s="1"/>
  <c r="I29" i="5" s="1"/>
  <c r="H29" i="5" l="1"/>
  <c r="K29" i="5" s="1"/>
  <c r="G30" i="5" s="1"/>
  <c r="I30" i="5" s="1"/>
  <c r="H30" i="5" l="1"/>
  <c r="K30" i="5" s="1"/>
  <c r="G31" i="5" s="1"/>
  <c r="I31" i="5" s="1"/>
  <c r="H31" i="5" l="1"/>
  <c r="K31" i="5" s="1"/>
  <c r="G32" i="5" s="1"/>
  <c r="I32" i="5" s="1"/>
  <c r="H32" i="5" l="1"/>
  <c r="K32" i="5" s="1"/>
  <c r="G33" i="5" s="1"/>
  <c r="I33" i="5" s="1"/>
  <c r="H33" i="5" l="1"/>
  <c r="K33" i="5" s="1"/>
  <c r="G34" i="5" s="1"/>
  <c r="I34" i="5" s="1"/>
  <c r="H34" i="5" l="1"/>
  <c r="K34" i="5" s="1"/>
  <c r="G35" i="5" s="1"/>
  <c r="I35" i="5" s="1"/>
  <c r="H35" i="5" l="1"/>
  <c r="K35" i="5" s="1"/>
  <c r="G36" i="5" s="1"/>
  <c r="I36" i="5" s="1"/>
  <c r="H36" i="5" l="1"/>
  <c r="K36" i="5" s="1"/>
  <c r="G37" i="5" s="1"/>
  <c r="I37" i="5" s="1"/>
  <c r="H37" i="5" l="1"/>
  <c r="K37" i="5" s="1"/>
  <c r="G38" i="5" s="1"/>
  <c r="I38" i="5" s="1"/>
  <c r="H38" i="5" l="1"/>
  <c r="K38" i="5" s="1"/>
  <c r="G39" i="5" s="1"/>
  <c r="I39" i="5" s="1"/>
  <c r="H39" i="5" l="1"/>
  <c r="K39" i="5" s="1"/>
  <c r="G40" i="5" s="1"/>
  <c r="I40" i="5" s="1"/>
  <c r="H40" i="5" l="1"/>
  <c r="K40" i="5" s="1"/>
  <c r="G41" i="5" s="1"/>
  <c r="I41" i="5" s="1"/>
  <c r="H41" i="5" l="1"/>
  <c r="K41" i="5" s="1"/>
  <c r="G42" i="5" s="1"/>
  <c r="I42" i="5" s="1"/>
  <c r="H42" i="5" l="1"/>
  <c r="K42" i="5" s="1"/>
  <c r="G43" i="5" s="1"/>
  <c r="I43" i="5" s="1"/>
  <c r="H43" i="5" l="1"/>
  <c r="K43" i="5" s="1"/>
  <c r="G44" i="5" s="1"/>
  <c r="I44" i="5" s="1"/>
  <c r="H44" i="5" l="1"/>
  <c r="K44" i="5" s="1"/>
  <c r="G45" i="5" s="1"/>
  <c r="I45" i="5" s="1"/>
  <c r="H45" i="5" l="1"/>
  <c r="K45" i="5" s="1"/>
  <c r="G46" i="5" s="1"/>
  <c r="I46" i="5" s="1"/>
  <c r="H46" i="5" l="1"/>
  <c r="K46" i="5" s="1"/>
  <c r="G47" i="5" s="1"/>
  <c r="I47" i="5" s="1"/>
  <c r="H47" i="5" l="1"/>
  <c r="K47" i="5" s="1"/>
  <c r="G48" i="5" s="1"/>
  <c r="I48" i="5" s="1"/>
  <c r="H48" i="5" l="1"/>
  <c r="K48" i="5" s="1"/>
  <c r="G49" i="5" s="1"/>
  <c r="I49" i="5" s="1"/>
  <c r="H49" i="5" l="1"/>
  <c r="K49" i="5" s="1"/>
  <c r="G50" i="5" s="1"/>
  <c r="I50" i="5" s="1"/>
  <c r="H50" i="5" l="1"/>
  <c r="K50" i="5" s="1"/>
  <c r="G51" i="5" s="1"/>
  <c r="I51" i="5" s="1"/>
  <c r="H51" i="5" l="1"/>
  <c r="K51" i="5" s="1"/>
  <c r="G52" i="5" s="1"/>
  <c r="I52" i="5" s="1"/>
  <c r="H52" i="5" l="1"/>
  <c r="K52" i="5" s="1"/>
  <c r="G53" i="5" s="1"/>
  <c r="I53" i="5" s="1"/>
  <c r="H53" i="5" l="1"/>
  <c r="K53" i="5" s="1"/>
  <c r="G54" i="5" s="1"/>
  <c r="I54" i="5" s="1"/>
  <c r="H54" i="5" l="1"/>
  <c r="K54" i="5" s="1"/>
  <c r="G55" i="5" s="1"/>
  <c r="I55" i="5" s="1"/>
  <c r="H55" i="5" l="1"/>
  <c r="K55" i="5" s="1"/>
  <c r="G56" i="5" s="1"/>
  <c r="I56" i="5" s="1"/>
  <c r="H56" i="5" l="1"/>
  <c r="K56" i="5" s="1"/>
  <c r="G57" i="5" s="1"/>
  <c r="I57" i="5" s="1"/>
  <c r="H57" i="5" l="1"/>
  <c r="K57" i="5" s="1"/>
  <c r="G58" i="5" s="1"/>
  <c r="I58" i="5" s="1"/>
  <c r="H58" i="5" l="1"/>
  <c r="K58" i="5" s="1"/>
  <c r="G59" i="5" s="1"/>
  <c r="I59" i="5" s="1"/>
  <c r="H59" i="5" l="1"/>
  <c r="K59" i="5" s="1"/>
  <c r="G60" i="5" s="1"/>
  <c r="I60" i="5" s="1"/>
  <c r="H60" i="5" l="1"/>
  <c r="K60" i="5" s="1"/>
  <c r="G61" i="5" s="1"/>
  <c r="I61" i="5" s="1"/>
  <c r="H61" i="5" l="1"/>
  <c r="K61" i="5" s="1"/>
  <c r="G62" i="5" s="1"/>
  <c r="I62" i="5" s="1"/>
  <c r="H62" i="5" l="1"/>
  <c r="K62" i="5" s="1"/>
  <c r="G63" i="5" s="1"/>
  <c r="I63" i="5" s="1"/>
  <c r="H63" i="5" l="1"/>
  <c r="K63" i="5" s="1"/>
  <c r="G64" i="5" s="1"/>
  <c r="I64" i="5" s="1"/>
  <c r="H64" i="5" l="1"/>
  <c r="K64" i="5" s="1"/>
  <c r="G65" i="5" s="1"/>
  <c r="I65" i="5" s="1"/>
  <c r="H65" i="5" l="1"/>
  <c r="K65" i="5" s="1"/>
  <c r="G66" i="5" s="1"/>
  <c r="I66" i="5" s="1"/>
  <c r="H66" i="5" l="1"/>
  <c r="K66" i="5" s="1"/>
  <c r="G67" i="5" s="1"/>
  <c r="I67" i="5" s="1"/>
  <c r="H67" i="5" l="1"/>
  <c r="K67" i="5" s="1"/>
  <c r="G68" i="5" s="1"/>
  <c r="I68" i="5" s="1"/>
  <c r="H68" i="5" l="1"/>
  <c r="K68" i="5" s="1"/>
  <c r="G69" i="5" s="1"/>
  <c r="I69" i="5" s="1"/>
  <c r="H69" i="5" l="1"/>
  <c r="K69" i="5" s="1"/>
  <c r="G70" i="5" s="1"/>
  <c r="I70" i="5" s="1"/>
  <c r="H70" i="5" l="1"/>
  <c r="K70" i="5" s="1"/>
  <c r="L6" i="5"/>
  <c r="L7" i="5" s="1"/>
</calcChain>
</file>

<file path=xl/sharedStrings.xml><?xml version="1.0" encoding="utf-8"?>
<sst xmlns="http://schemas.openxmlformats.org/spreadsheetml/2006/main" count="210" uniqueCount="57">
  <si>
    <t>Datos</t>
  </si>
  <si>
    <t>Resultados</t>
  </si>
  <si>
    <t>Importe del prestamo</t>
  </si>
  <si>
    <t>Amortización</t>
  </si>
  <si>
    <t>Tasa de interes anual</t>
  </si>
  <si>
    <t>Número de pagos</t>
  </si>
  <si>
    <t>Tasa Efectiva</t>
  </si>
  <si>
    <t>Importe total de los intereses</t>
  </si>
  <si>
    <t xml:space="preserve">Periodo de prestamo en años </t>
  </si>
  <si>
    <t>Costo total del prestamo</t>
  </si>
  <si>
    <t>Fecha de inicio de prestamo</t>
  </si>
  <si>
    <t>Fecha fin de prestamo</t>
  </si>
  <si>
    <t>Periodo</t>
  </si>
  <si>
    <t>Fecha</t>
  </si>
  <si>
    <t>Capital inicial</t>
  </si>
  <si>
    <t>Interes</t>
  </si>
  <si>
    <t>Pago</t>
  </si>
  <si>
    <t>Capital final</t>
  </si>
  <si>
    <t>Pago mensual</t>
  </si>
  <si>
    <t>Tasa efectiva</t>
  </si>
  <si>
    <t xml:space="preserve">Pago </t>
  </si>
  <si>
    <t> </t>
  </si>
  <si>
    <t>Escriba los valores</t>
  </si>
  <si>
    <t>24/05/2021</t>
  </si>
  <si>
    <t>24/06/2021</t>
  </si>
  <si>
    <t>24/07/2021</t>
  </si>
  <si>
    <t>24/08/2021</t>
  </si>
  <si>
    <t>24/09/2021</t>
  </si>
  <si>
    <t>24/10/2021</t>
  </si>
  <si>
    <t>24/11/2021</t>
  </si>
  <si>
    <t>24/12/2021</t>
  </si>
  <si>
    <t>24/01/2022</t>
  </si>
  <si>
    <t>24/02/2022</t>
  </si>
  <si>
    <t>24/03/2022</t>
  </si>
  <si>
    <t>24/04/2022</t>
  </si>
  <si>
    <t>24/05/2022</t>
  </si>
  <si>
    <t>Instituto Politécnico Nacional</t>
  </si>
  <si>
    <t>Escuela Superior de Cómputo</t>
  </si>
  <si>
    <t>Finanzas Empresariales</t>
  </si>
  <si>
    <t>"Tablas de Amortización"</t>
  </si>
  <si>
    <t>Rodríguez Flores Eduardo</t>
  </si>
  <si>
    <t>3CV2</t>
  </si>
  <si>
    <t>Equipo 3:</t>
  </si>
  <si>
    <t>Colín Ramiro Joel</t>
  </si>
  <si>
    <t>Cortés Olvera Eduardo Maximiliano</t>
  </si>
  <si>
    <t>Márquez Granados Miriam Daniela</t>
  </si>
  <si>
    <t>Ramírez Jiménez Itzel Guadalupe</t>
  </si>
  <si>
    <t>Esquema de Amortizaciones Iguales o Pagos Decrecientes</t>
  </si>
  <si>
    <t>Antecedentes</t>
  </si>
  <si>
    <t>Importe del préstamo:</t>
  </si>
  <si>
    <t>Tasa de interés anual:</t>
  </si>
  <si>
    <t>Periodo de préstamo en años:</t>
  </si>
  <si>
    <t>Ingrese sus Datos</t>
  </si>
  <si>
    <t>Esquema de Pagos Iguales</t>
  </si>
  <si>
    <t>Esquema de Amortizaciones de Pagos Crecientes</t>
  </si>
  <si>
    <t>Esquema Tipo Bullet</t>
  </si>
  <si>
    <t>REFERENCIAS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</si>
</sst>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8" formatCode="&quot;$&quot;#,##0.00;[Red]\-&quot;$&quot;#,##0.00"/>
    <numFmt numFmtId="44" formatCode="_-&quot;$&quot;* #,##0.00_-;\-&quot;$&quot;* #,##0.00_-;_-&quot;$&quot;* &quot;-&quot;??_-;_-@_-"/>
    <numFmt numFmtId="164" formatCode="&quot;$&quot;#,##0.00_);[Red]\(&quot;$&quot;#,##0.00\)"/>
    <numFmt numFmtId="165" formatCode="&quot;$&quot;#,##0.00"/>
    <numFmt numFmtId="166" formatCode="0.0000%"/>
  </numFmts>
  <fonts count="41" x14ac:knownFonts="1">
    <font>
      <sz val="11"/>
      <color theme="1"/>
      <name val="Calibri"/>
      <family val="2"/>
      <scheme val="minor"/>
    </font>
    <font>
      <sz val="11"/>
      <color theme="1"/>
      <name val="Calibri"/>
      <family val="2"/>
      <scheme val="minor"/>
    </font>
    <font>
      <sz val="11"/>
      <name val="Calibri"/>
      <family val="2"/>
      <scheme val="minor"/>
    </font>
    <font>
      <u/>
      <sz val="11"/>
      <color theme="10"/>
      <name val="Calibri"/>
      <family val="2"/>
      <scheme val="minor"/>
    </font>
    <font>
      <sz val="11"/>
      <name val="Bahnschrift Light"/>
      <family val="2"/>
    </font>
    <font>
      <sz val="16"/>
      <name val="Bahnschrift Light"/>
      <family val="2"/>
    </font>
    <font>
      <u/>
      <sz val="16"/>
      <name val="Bahnschrift Light"/>
      <family val="2"/>
    </font>
    <font>
      <sz val="11"/>
      <color theme="1"/>
      <name val="Bahnschrift Light"/>
      <family val="2"/>
    </font>
    <font>
      <sz val="22"/>
      <color theme="0"/>
      <name val="Bahnschrift Light"/>
      <family val="2"/>
    </font>
    <font>
      <sz val="11"/>
      <color rgb="FFFF0000"/>
      <name val="Bahnschrift Light"/>
      <family val="2"/>
    </font>
    <font>
      <sz val="11"/>
      <color rgb="FFFFFFFF"/>
      <name val="Bahnschrift Light"/>
      <family val="2"/>
    </font>
    <font>
      <sz val="14"/>
      <name val="Bahnschrift Light"/>
      <family val="2"/>
    </font>
    <font>
      <sz val="14"/>
      <color theme="0"/>
      <name val="Bahnschrift Light"/>
      <family val="2"/>
    </font>
    <font>
      <sz val="12"/>
      <name val="Bahnschrift Light"/>
      <family val="2"/>
    </font>
    <font>
      <u/>
      <sz val="14"/>
      <color rgb="FFFFFFFF"/>
      <name val="Bahnschrift Light"/>
      <family val="2"/>
    </font>
    <font>
      <sz val="11"/>
      <color theme="0"/>
      <name val="Bahnschrift Light"/>
      <family val="2"/>
    </font>
    <font>
      <i/>
      <sz val="11"/>
      <color theme="1"/>
      <name val="Bahnschrift Light"/>
      <family val="2"/>
    </font>
    <font>
      <b/>
      <sz val="11"/>
      <color theme="1"/>
      <name val="Bahnschrift Light"/>
      <family val="2"/>
    </font>
    <font>
      <b/>
      <sz val="11"/>
      <name val="Bahnschrift Light"/>
      <family val="2"/>
    </font>
    <font>
      <sz val="16"/>
      <color rgb="FF000000"/>
      <name val="Bahnschrift Light"/>
      <family val="2"/>
    </font>
    <font>
      <sz val="11"/>
      <color rgb="FF000000"/>
      <name val="Bahnschrift Light"/>
      <family val="2"/>
    </font>
    <font>
      <b/>
      <sz val="11"/>
      <color rgb="FFFFB256"/>
      <name val="Bahnschrift Light"/>
      <family val="2"/>
    </font>
    <font>
      <sz val="11"/>
      <color rgb="FFFFB256"/>
      <name val="Bahnschrift Light"/>
      <family val="2"/>
    </font>
    <font>
      <u/>
      <sz val="11"/>
      <color rgb="FFFFB256"/>
      <name val="Bahnschrift Light"/>
      <family val="2"/>
    </font>
    <font>
      <u/>
      <sz val="11"/>
      <color rgb="FFFF0000"/>
      <name val="Bahnschrift Light"/>
      <family val="2"/>
    </font>
    <font>
      <b/>
      <sz val="16"/>
      <color theme="0"/>
      <name val="Bahnschrift Light"/>
      <family val="2"/>
    </font>
    <font>
      <b/>
      <sz val="16"/>
      <color rgb="FF009999"/>
      <name val="Bahnschrift Light"/>
      <family val="2"/>
    </font>
    <font>
      <b/>
      <sz val="11"/>
      <color rgb="FF006666"/>
      <name val="Bahnschrift Light"/>
      <family val="2"/>
    </font>
    <font>
      <sz val="11"/>
      <color rgb="FF006666"/>
      <name val="Bahnschrift Light"/>
      <family val="2"/>
    </font>
    <font>
      <b/>
      <sz val="11"/>
      <color theme="0"/>
      <name val="Bahnschrift Light"/>
      <family val="2"/>
    </font>
    <font>
      <b/>
      <sz val="11"/>
      <color rgb="FFC00000"/>
      <name val="Bahnschrift Light"/>
      <family val="2"/>
    </font>
    <font>
      <sz val="11"/>
      <color rgb="FFC00000"/>
      <name val="Bahnschrift Light"/>
      <family val="2"/>
    </font>
    <font>
      <sz val="11"/>
      <color rgb="FF6600CC"/>
      <name val="Bahnschrift Light"/>
      <family val="2"/>
    </font>
    <font>
      <b/>
      <sz val="11"/>
      <color rgb="FF6600CC"/>
      <name val="Bahnschrift Light"/>
      <family val="2"/>
    </font>
    <font>
      <sz val="11"/>
      <color rgb="FFA6A6A6"/>
      <name val="Bahnschrift Light"/>
      <family val="2"/>
    </font>
    <font>
      <b/>
      <sz val="11"/>
      <color rgb="FFCC3300"/>
      <name val="Bahnschrift Light"/>
      <family val="2"/>
    </font>
    <font>
      <sz val="11"/>
      <color rgb="FF202122"/>
      <name val="Bahnschrift Light"/>
      <family val="2"/>
    </font>
    <font>
      <u/>
      <sz val="11"/>
      <color theme="10"/>
      <name val="Bahnschrift Light"/>
      <family val="2"/>
    </font>
    <font>
      <sz val="30"/>
      <color rgb="FF0099FF"/>
      <name val="Bahnschrift Light"/>
      <family val="2"/>
    </font>
    <font>
      <b/>
      <sz val="30"/>
      <color theme="7"/>
      <name val="Bahnschrift Light"/>
      <family val="2"/>
    </font>
    <font>
      <b/>
      <sz val="16"/>
      <color rgb="FF99CC00"/>
      <name val="Bahnschrift Light"/>
      <family val="2"/>
    </font>
  </fonts>
  <fills count="17">
    <fill>
      <patternFill patternType="none"/>
    </fill>
    <fill>
      <patternFill patternType="gray125"/>
    </fill>
    <fill>
      <patternFill patternType="solid">
        <fgColor theme="0"/>
        <bgColor indexed="64"/>
      </patternFill>
    </fill>
    <fill>
      <patternFill patternType="solid">
        <fgColor rgb="FFFF66CC"/>
        <bgColor indexed="64"/>
      </patternFill>
    </fill>
    <fill>
      <patternFill patternType="solid">
        <fgColor theme="7"/>
        <bgColor indexed="64"/>
      </patternFill>
    </fill>
    <fill>
      <patternFill patternType="solid">
        <fgColor rgb="FF99CC00"/>
        <bgColor indexed="64"/>
      </patternFill>
    </fill>
    <fill>
      <patternFill patternType="solid">
        <fgColor rgb="FF009999"/>
        <bgColor indexed="64"/>
      </patternFill>
    </fill>
    <fill>
      <patternFill patternType="solid">
        <fgColor rgb="FF006666"/>
        <bgColor indexed="64"/>
      </patternFill>
    </fill>
    <fill>
      <patternFill patternType="solid">
        <fgColor rgb="FFFF0000"/>
        <bgColor indexed="64"/>
      </patternFill>
    </fill>
    <fill>
      <patternFill patternType="solid">
        <fgColor rgb="FFC00000"/>
        <bgColor indexed="64"/>
      </patternFill>
    </fill>
    <fill>
      <patternFill patternType="solid">
        <fgColor rgb="FF9933FF"/>
        <bgColor indexed="64"/>
      </patternFill>
    </fill>
    <fill>
      <patternFill patternType="solid">
        <fgColor rgb="FF6600CC"/>
        <bgColor indexed="64"/>
      </patternFill>
    </fill>
    <fill>
      <patternFill patternType="solid">
        <fgColor rgb="FFFF6600"/>
        <bgColor indexed="64"/>
      </patternFill>
    </fill>
    <fill>
      <patternFill patternType="solid">
        <fgColor rgb="FFFF6600"/>
        <bgColor rgb="FF000000"/>
      </patternFill>
    </fill>
    <fill>
      <patternFill patternType="solid">
        <fgColor rgb="FFCC3300"/>
        <bgColor indexed="64"/>
      </patternFill>
    </fill>
    <fill>
      <patternFill patternType="solid">
        <fgColor rgb="FF0099FF"/>
        <bgColor indexed="64"/>
      </patternFill>
    </fill>
    <fill>
      <patternFill patternType="solid">
        <fgColor rgb="FF0099FF"/>
        <bgColor rgb="FF000000"/>
      </patternFill>
    </fill>
  </fills>
  <borders count="11">
    <border>
      <left/>
      <right/>
      <top/>
      <bottom/>
      <diagonal/>
    </border>
    <border>
      <left style="thin">
        <color rgb="FF121633"/>
      </left>
      <right style="thin">
        <color rgb="FF121633"/>
      </right>
      <top style="thin">
        <color rgb="FF121633"/>
      </top>
      <bottom style="thin">
        <color rgb="FF121633"/>
      </bottom>
      <diagonal/>
    </border>
    <border>
      <left style="thin">
        <color rgb="FF121633"/>
      </left>
      <right style="thin">
        <color rgb="FF121633"/>
      </right>
      <top/>
      <bottom style="thin">
        <color rgb="FF121633"/>
      </bottom>
      <diagonal/>
    </border>
    <border>
      <left/>
      <right style="thin">
        <color rgb="FF121633"/>
      </right>
      <top style="thin">
        <color rgb="FF121633"/>
      </top>
      <bottom style="thin">
        <color rgb="FF121633"/>
      </bottom>
      <diagonal/>
    </border>
    <border>
      <left/>
      <right style="thin">
        <color rgb="FF121633"/>
      </right>
      <top/>
      <bottom style="thin">
        <color rgb="FF121633"/>
      </bottom>
      <diagonal/>
    </border>
    <border>
      <left style="thin">
        <color theme="0"/>
      </left>
      <right style="thin">
        <color theme="0"/>
      </right>
      <top style="thin">
        <color theme="0"/>
      </top>
      <bottom style="thin">
        <color theme="0"/>
      </bottom>
      <diagonal/>
    </border>
    <border>
      <left style="double">
        <color theme="1"/>
      </left>
      <right style="double">
        <color theme="1"/>
      </right>
      <top style="double">
        <color theme="1"/>
      </top>
      <bottom style="double">
        <color theme="1"/>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s>
  <cellStyleXfs count="4">
    <xf numFmtId="0" fontId="0" fillId="0" borderId="0"/>
    <xf numFmtId="44" fontId="1" fillId="0" borderId="0" applyFont="0" applyFill="0" applyBorder="0" applyAlignment="0" applyProtection="0"/>
    <xf numFmtId="9" fontId="1" fillId="0" borderId="0" applyFont="0" applyFill="0" applyBorder="0" applyAlignment="0" applyProtection="0"/>
    <xf numFmtId="0" fontId="3" fillId="0" borderId="0" applyNumberFormat="0" applyFill="0" applyBorder="0" applyAlignment="0" applyProtection="0"/>
  </cellStyleXfs>
  <cellXfs count="155">
    <xf numFmtId="0" fontId="0" fillId="0" borderId="0" xfId="0"/>
    <xf numFmtId="0" fontId="4" fillId="3" borderId="0" xfId="0" applyFont="1" applyFill="1"/>
    <xf numFmtId="0" fontId="2" fillId="3" borderId="0" xfId="0" applyFont="1" applyFill="1"/>
    <xf numFmtId="0" fontId="7" fillId="4" borderId="0" xfId="0" applyFont="1" applyFill="1"/>
    <xf numFmtId="0" fontId="7" fillId="5" borderId="0" xfId="0" applyFont="1" applyFill="1"/>
    <xf numFmtId="0" fontId="9" fillId="5" borderId="0" xfId="0" applyFont="1" applyFill="1"/>
    <xf numFmtId="0" fontId="10" fillId="5" borderId="0" xfId="0" applyFont="1" applyFill="1" applyAlignment="1">
      <alignment horizontal="center" wrapText="1"/>
    </xf>
    <xf numFmtId="0" fontId="19" fillId="5" borderId="0" xfId="0" applyFont="1" applyFill="1" applyAlignment="1">
      <alignment horizontal="left" vertical="center"/>
    </xf>
    <xf numFmtId="0" fontId="9" fillId="5" borderId="0" xfId="0" applyFont="1" applyFill="1" applyAlignment="1">
      <alignment vertical="center"/>
    </xf>
    <xf numFmtId="0" fontId="9" fillId="5" borderId="0" xfId="0" applyFont="1" applyFill="1" applyAlignment="1">
      <alignment horizontal="center" vertical="center" wrapText="1"/>
    </xf>
    <xf numFmtId="0" fontId="15" fillId="5" borderId="0" xfId="0" applyFont="1" applyFill="1" applyAlignment="1">
      <alignment vertical="center"/>
    </xf>
    <xf numFmtId="0" fontId="7" fillId="5" borderId="0" xfId="0" applyFont="1" applyFill="1" applyAlignment="1">
      <alignment wrapText="1"/>
    </xf>
    <xf numFmtId="164" fontId="17" fillId="5" borderId="0" xfId="0" applyNumberFormat="1" applyFont="1" applyFill="1"/>
    <xf numFmtId="0" fontId="19" fillId="5" borderId="0" xfId="0" applyFont="1" applyFill="1"/>
    <xf numFmtId="0" fontId="4" fillId="5" borderId="0" xfId="0" applyFont="1" applyFill="1" applyAlignment="1">
      <alignment vertical="center" wrapText="1"/>
    </xf>
    <xf numFmtId="0" fontId="18" fillId="5" borderId="0" xfId="0" applyFont="1" applyFill="1" applyAlignment="1">
      <alignment vertical="center" wrapText="1"/>
    </xf>
    <xf numFmtId="0" fontId="15" fillId="5" borderId="0" xfId="0" applyFont="1" applyFill="1" applyAlignment="1">
      <alignment vertical="center" wrapText="1"/>
    </xf>
    <xf numFmtId="0" fontId="9" fillId="5" borderId="0" xfId="0" applyFont="1" applyFill="1" applyAlignment="1">
      <alignment vertical="center" wrapText="1"/>
    </xf>
    <xf numFmtId="0" fontId="21" fillId="5" borderId="0" xfId="0" applyFont="1" applyFill="1" applyAlignment="1">
      <alignment vertical="center" wrapText="1"/>
    </xf>
    <xf numFmtId="0" fontId="22" fillId="5" borderId="0" xfId="0" applyFont="1" applyFill="1" applyAlignment="1">
      <alignment horizontal="left" vertical="center" wrapText="1"/>
    </xf>
    <xf numFmtId="165" fontId="18" fillId="5" borderId="6" xfId="0" applyNumberFormat="1" applyFont="1" applyFill="1" applyBorder="1"/>
    <xf numFmtId="0" fontId="9" fillId="5" borderId="0" xfId="0" applyFont="1" applyFill="1" applyBorder="1" applyAlignment="1">
      <alignment vertical="center" wrapText="1"/>
    </xf>
    <xf numFmtId="0" fontId="9" fillId="5" borderId="0" xfId="0" applyFont="1" applyFill="1" applyAlignment="1">
      <alignment horizontal="left" vertical="center" wrapText="1"/>
    </xf>
    <xf numFmtId="0" fontId="22" fillId="5" borderId="0" xfId="0" applyFont="1" applyFill="1" applyAlignment="1">
      <alignment vertical="center" wrapText="1"/>
    </xf>
    <xf numFmtId="10" fontId="18" fillId="5" borderId="6" xfId="0" applyNumberFormat="1" applyFont="1" applyFill="1" applyBorder="1"/>
    <xf numFmtId="0" fontId="9" fillId="5" borderId="0" xfId="0" applyFont="1" applyFill="1" applyBorder="1" applyAlignment="1">
      <alignment horizontal="left" vertical="center" wrapText="1"/>
    </xf>
    <xf numFmtId="0" fontId="23" fillId="5" borderId="0" xfId="0" applyFont="1" applyFill="1" applyAlignment="1">
      <alignment vertical="center" wrapText="1"/>
    </xf>
    <xf numFmtId="0" fontId="18" fillId="5" borderId="6" xfId="0" applyNumberFormat="1" applyFont="1" applyFill="1" applyBorder="1"/>
    <xf numFmtId="0" fontId="24" fillId="5" borderId="0" xfId="0" applyFont="1" applyFill="1" applyAlignment="1">
      <alignment vertical="center" wrapText="1"/>
    </xf>
    <xf numFmtId="0" fontId="7" fillId="6" borderId="0" xfId="0" applyFont="1" applyFill="1" applyBorder="1"/>
    <xf numFmtId="0" fontId="4" fillId="6" borderId="0" xfId="0" applyFont="1" applyFill="1" applyBorder="1"/>
    <xf numFmtId="0" fontId="4" fillId="6" borderId="0" xfId="0" applyFont="1" applyFill="1" applyBorder="1" applyAlignment="1">
      <alignment horizontal="right"/>
    </xf>
    <xf numFmtId="0" fontId="15" fillId="6" borderId="0" xfId="0" applyFont="1" applyFill="1" applyBorder="1"/>
    <xf numFmtId="0" fontId="26" fillId="6" borderId="0" xfId="0" applyFont="1" applyFill="1" applyBorder="1" applyAlignment="1"/>
    <xf numFmtId="44" fontId="15" fillId="6" borderId="10" xfId="1" applyFont="1" applyFill="1" applyBorder="1"/>
    <xf numFmtId="10" fontId="15" fillId="6" borderId="10" xfId="0" applyNumberFormat="1" applyFont="1" applyFill="1" applyBorder="1"/>
    <xf numFmtId="166" fontId="15" fillId="6" borderId="10" xfId="2" applyNumberFormat="1" applyFont="1" applyFill="1" applyBorder="1" applyAlignment="1">
      <alignment vertical="center"/>
    </xf>
    <xf numFmtId="0" fontId="15" fillId="6" borderId="10" xfId="0" applyNumberFormat="1" applyFont="1" applyFill="1" applyBorder="1"/>
    <xf numFmtId="14" fontId="15" fillId="6" borderId="10" xfId="0" applyNumberFormat="1" applyFont="1" applyFill="1" applyBorder="1"/>
    <xf numFmtId="0" fontId="27" fillId="2" borderId="10" xfId="0" applyFont="1" applyFill="1" applyBorder="1" applyAlignment="1">
      <alignment horizontal="center" vertical="center"/>
    </xf>
    <xf numFmtId="0" fontId="29" fillId="7" borderId="10" xfId="0" applyFont="1" applyFill="1" applyBorder="1" applyAlignment="1">
      <alignment horizontal="center" vertical="center"/>
    </xf>
    <xf numFmtId="0" fontId="29" fillId="7" borderId="10" xfId="0" applyFont="1" applyFill="1" applyBorder="1"/>
    <xf numFmtId="14" fontId="15" fillId="6" borderId="10" xfId="0" applyNumberFormat="1" applyFont="1" applyFill="1" applyBorder="1" applyAlignment="1">
      <alignment horizontal="center" vertical="center"/>
    </xf>
    <xf numFmtId="8" fontId="15" fillId="6" borderId="10" xfId="0" applyNumberFormat="1" applyFont="1" applyFill="1" applyBorder="1" applyAlignment="1">
      <alignment horizontal="center" vertical="center"/>
    </xf>
    <xf numFmtId="165" fontId="15" fillId="6" borderId="10" xfId="0" applyNumberFormat="1" applyFont="1" applyFill="1" applyBorder="1" applyAlignment="1">
      <alignment horizontal="center" vertical="center"/>
    </xf>
    <xf numFmtId="0" fontId="15" fillId="6" borderId="10" xfId="0" applyFont="1" applyFill="1" applyBorder="1"/>
    <xf numFmtId="8" fontId="15" fillId="6" borderId="10" xfId="0" applyNumberFormat="1" applyFont="1" applyFill="1" applyBorder="1"/>
    <xf numFmtId="0" fontId="7" fillId="8" borderId="0" xfId="0" applyFont="1" applyFill="1" applyBorder="1"/>
    <xf numFmtId="0" fontId="4" fillId="8" borderId="0" xfId="0" applyFont="1" applyFill="1" applyBorder="1"/>
    <xf numFmtId="0" fontId="4" fillId="8" borderId="0" xfId="0" applyFont="1" applyFill="1" applyBorder="1" applyAlignment="1">
      <alignment horizontal="right"/>
    </xf>
    <xf numFmtId="8" fontId="7" fillId="8" borderId="0" xfId="0" applyNumberFormat="1" applyFont="1" applyFill="1" applyBorder="1"/>
    <xf numFmtId="44" fontId="15" fillId="8" borderId="10" xfId="1" applyFont="1" applyFill="1" applyBorder="1"/>
    <xf numFmtId="10" fontId="15" fillId="8" borderId="10" xfId="0" applyNumberFormat="1" applyFont="1" applyFill="1" applyBorder="1"/>
    <xf numFmtId="166" fontId="15" fillId="8" borderId="10" xfId="0" applyNumberFormat="1" applyFont="1" applyFill="1" applyBorder="1"/>
    <xf numFmtId="0" fontId="15" fillId="8" borderId="10" xfId="0" applyNumberFormat="1" applyFont="1" applyFill="1" applyBorder="1"/>
    <xf numFmtId="14" fontId="15" fillId="8" borderId="10" xfId="0" applyNumberFormat="1" applyFont="1" applyFill="1" applyBorder="1"/>
    <xf numFmtId="8" fontId="15" fillId="8" borderId="10" xfId="0" applyNumberFormat="1" applyFont="1" applyFill="1" applyBorder="1"/>
    <xf numFmtId="0" fontId="15" fillId="8" borderId="10" xfId="0" applyFont="1" applyFill="1" applyBorder="1"/>
    <xf numFmtId="0" fontId="18" fillId="2" borderId="10" xfId="0" applyFont="1" applyFill="1" applyBorder="1" applyAlignment="1">
      <alignment horizontal="center" vertical="center"/>
    </xf>
    <xf numFmtId="0" fontId="29" fillId="9" borderId="10" xfId="0" applyFont="1" applyFill="1" applyBorder="1" applyAlignment="1">
      <alignment horizontal="center" vertical="center"/>
    </xf>
    <xf numFmtId="0" fontId="29" fillId="9" borderId="10" xfId="0" applyFont="1" applyFill="1" applyBorder="1"/>
    <xf numFmtId="14" fontId="15" fillId="8" borderId="10" xfId="0" applyNumberFormat="1" applyFont="1" applyFill="1" applyBorder="1" applyAlignment="1">
      <alignment horizontal="center" vertical="center"/>
    </xf>
    <xf numFmtId="8" fontId="15" fillId="8" borderId="10" xfId="0" applyNumberFormat="1" applyFont="1" applyFill="1" applyBorder="1" applyAlignment="1">
      <alignment horizontal="center" vertical="center"/>
    </xf>
    <xf numFmtId="165" fontId="15" fillId="8" borderId="10" xfId="0" applyNumberFormat="1" applyFont="1" applyFill="1" applyBorder="1" applyAlignment="1">
      <alignment horizontal="center" vertical="center"/>
    </xf>
    <xf numFmtId="0" fontId="7" fillId="10" borderId="0" xfId="0" applyFont="1" applyFill="1" applyBorder="1"/>
    <xf numFmtId="0" fontId="4" fillId="10" borderId="0" xfId="0" applyFont="1" applyFill="1" applyBorder="1"/>
    <xf numFmtId="0" fontId="4" fillId="10" borderId="0" xfId="0" applyFont="1" applyFill="1" applyBorder="1" applyAlignment="1">
      <alignment horizontal="right"/>
    </xf>
    <xf numFmtId="44" fontId="15" fillId="10" borderId="10" xfId="1" applyFont="1" applyFill="1" applyBorder="1"/>
    <xf numFmtId="10" fontId="15" fillId="10" borderId="10" xfId="0" applyNumberFormat="1" applyFont="1" applyFill="1" applyBorder="1"/>
    <xf numFmtId="166" fontId="15" fillId="10" borderId="10" xfId="0" applyNumberFormat="1" applyFont="1" applyFill="1" applyBorder="1"/>
    <xf numFmtId="0" fontId="15" fillId="10" borderId="10" xfId="0" applyNumberFormat="1" applyFont="1" applyFill="1" applyBorder="1"/>
    <xf numFmtId="14" fontId="15" fillId="10" borderId="10" xfId="0" applyNumberFormat="1" applyFont="1" applyFill="1" applyBorder="1"/>
    <xf numFmtId="0" fontId="32" fillId="10" borderId="0" xfId="0" applyFont="1" applyFill="1" applyBorder="1" applyAlignment="1">
      <alignment horizontal="right"/>
    </xf>
    <xf numFmtId="8" fontId="15" fillId="10" borderId="10" xfId="0" applyNumberFormat="1" applyFont="1" applyFill="1" applyBorder="1"/>
    <xf numFmtId="0" fontId="15" fillId="10" borderId="10" xfId="0" applyFont="1" applyFill="1" applyBorder="1"/>
    <xf numFmtId="0" fontId="33" fillId="2" borderId="10" xfId="0" applyFont="1" applyFill="1" applyBorder="1" applyAlignment="1">
      <alignment horizontal="center" vertical="center"/>
    </xf>
    <xf numFmtId="14" fontId="15" fillId="10" borderId="10" xfId="0" applyNumberFormat="1" applyFont="1" applyFill="1" applyBorder="1" applyAlignment="1">
      <alignment horizontal="center" vertical="center"/>
    </xf>
    <xf numFmtId="8" fontId="15" fillId="10" borderId="10" xfId="0" applyNumberFormat="1" applyFont="1" applyFill="1" applyBorder="1" applyAlignment="1">
      <alignment horizontal="center" vertical="center"/>
    </xf>
    <xf numFmtId="0" fontId="29" fillId="11" borderId="10" xfId="0" applyFont="1" applyFill="1" applyBorder="1" applyAlignment="1">
      <alignment horizontal="center" vertical="center"/>
    </xf>
    <xf numFmtId="0" fontId="29" fillId="11" borderId="10" xfId="0" applyFont="1" applyFill="1" applyBorder="1"/>
    <xf numFmtId="0" fontId="4" fillId="12" borderId="0" xfId="0" applyFont="1" applyFill="1" applyBorder="1"/>
    <xf numFmtId="0" fontId="7" fillId="12" borderId="0" xfId="0" applyFont="1" applyFill="1" applyBorder="1"/>
    <xf numFmtId="0" fontId="4" fillId="12" borderId="0" xfId="0" applyFont="1" applyFill="1" applyBorder="1" applyAlignment="1">
      <alignment horizontal="right"/>
    </xf>
    <xf numFmtId="8" fontId="4" fillId="12" borderId="0" xfId="0" applyNumberFormat="1" applyFont="1" applyFill="1" applyBorder="1"/>
    <xf numFmtId="0" fontId="20" fillId="13" borderId="0" xfId="0" applyFont="1" applyFill="1" applyBorder="1" applyAlignment="1">
      <alignment wrapText="1"/>
    </xf>
    <xf numFmtId="0" fontId="10" fillId="13" borderId="0" xfId="0" applyFont="1" applyFill="1" applyBorder="1" applyAlignment="1">
      <alignment wrapText="1"/>
    </xf>
    <xf numFmtId="0" fontId="34" fillId="13" borderId="0" xfId="0" applyFont="1" applyFill="1" applyBorder="1" applyAlignment="1">
      <alignment wrapText="1"/>
    </xf>
    <xf numFmtId="164" fontId="10" fillId="13" borderId="0" xfId="0" applyNumberFormat="1" applyFont="1" applyFill="1" applyBorder="1" applyAlignment="1">
      <alignment wrapText="1"/>
    </xf>
    <xf numFmtId="10" fontId="10" fillId="13" borderId="0" xfId="0" applyNumberFormat="1" applyFont="1" applyFill="1" applyBorder="1" applyAlignment="1">
      <alignment wrapText="1"/>
    </xf>
    <xf numFmtId="44" fontId="15" fillId="12" borderId="10" xfId="1" applyFont="1" applyFill="1" applyBorder="1"/>
    <xf numFmtId="10" fontId="15" fillId="12" borderId="10" xfId="0" applyNumberFormat="1" applyFont="1" applyFill="1" applyBorder="1"/>
    <xf numFmtId="166" fontId="15" fillId="12" borderId="10" xfId="0" applyNumberFormat="1" applyFont="1" applyFill="1" applyBorder="1"/>
    <xf numFmtId="0" fontId="15" fillId="12" borderId="10" xfId="0" applyNumberFormat="1" applyFont="1" applyFill="1" applyBorder="1"/>
    <xf numFmtId="14" fontId="15" fillId="12" borderId="10" xfId="0" applyNumberFormat="1" applyFont="1" applyFill="1" applyBorder="1"/>
    <xf numFmtId="0" fontId="15" fillId="12" borderId="10" xfId="0" applyFont="1" applyFill="1" applyBorder="1"/>
    <xf numFmtId="8" fontId="15" fillId="12" borderId="10" xfId="0" applyNumberFormat="1" applyFont="1" applyFill="1" applyBorder="1"/>
    <xf numFmtId="14" fontId="15" fillId="12" borderId="10" xfId="0" applyNumberFormat="1" applyFont="1" applyFill="1" applyBorder="1" applyAlignment="1">
      <alignment horizontal="center" vertical="center"/>
    </xf>
    <xf numFmtId="8" fontId="15" fillId="12" borderId="10" xfId="0" applyNumberFormat="1" applyFont="1" applyFill="1" applyBorder="1" applyAlignment="1">
      <alignment horizontal="center" vertical="center"/>
    </xf>
    <xf numFmtId="165" fontId="15" fillId="12" borderId="10" xfId="0" applyNumberFormat="1" applyFont="1" applyFill="1" applyBorder="1" applyAlignment="1">
      <alignment horizontal="center" vertical="center"/>
    </xf>
    <xf numFmtId="0" fontId="29" fillId="14" borderId="10" xfId="0" applyFont="1" applyFill="1" applyBorder="1" applyAlignment="1">
      <alignment horizontal="center" vertical="center"/>
    </xf>
    <xf numFmtId="0" fontId="29" fillId="14" borderId="10" xfId="0" applyFont="1" applyFill="1" applyBorder="1"/>
    <xf numFmtId="0" fontId="35" fillId="2" borderId="10" xfId="0" applyFont="1" applyFill="1" applyBorder="1" applyAlignment="1">
      <alignment horizontal="center" vertical="center"/>
    </xf>
    <xf numFmtId="0" fontId="7" fillId="15" borderId="0" xfId="0" applyFont="1" applyFill="1"/>
    <xf numFmtId="0" fontId="4" fillId="15" borderId="0" xfId="0" applyFont="1" applyFill="1"/>
    <xf numFmtId="0" fontId="9" fillId="15" borderId="0" xfId="0" applyFont="1" applyFill="1"/>
    <xf numFmtId="0" fontId="36" fillId="15" borderId="0" xfId="0" applyFont="1" applyFill="1" applyAlignment="1">
      <alignment wrapText="1"/>
    </xf>
    <xf numFmtId="0" fontId="37" fillId="15" borderId="0" xfId="3" applyFont="1" applyFill="1" applyAlignment="1"/>
    <xf numFmtId="0" fontId="20" fillId="16" borderId="0" xfId="0" applyFont="1" applyFill="1" applyAlignment="1">
      <alignment wrapText="1"/>
    </xf>
    <xf numFmtId="0" fontId="10" fillId="16" borderId="0" xfId="0" applyFont="1" applyFill="1" applyAlignment="1">
      <alignment wrapText="1"/>
    </xf>
    <xf numFmtId="0" fontId="34" fillId="16" borderId="0" xfId="0" applyFont="1" applyFill="1" applyAlignment="1">
      <alignment wrapText="1"/>
    </xf>
    <xf numFmtId="164" fontId="10" fillId="16" borderId="1" xfId="0" applyNumberFormat="1" applyFont="1" applyFill="1" applyBorder="1" applyAlignment="1">
      <alignment wrapText="1"/>
    </xf>
    <xf numFmtId="10" fontId="10" fillId="16" borderId="2" xfId="0" applyNumberFormat="1" applyFont="1" applyFill="1" applyBorder="1" applyAlignment="1">
      <alignment wrapText="1"/>
    </xf>
    <xf numFmtId="10" fontId="10" fillId="16" borderId="0" xfId="0" applyNumberFormat="1" applyFont="1" applyFill="1" applyAlignment="1">
      <alignment wrapText="1"/>
    </xf>
    <xf numFmtId="0" fontId="10" fillId="16" borderId="2" xfId="0" applyFont="1" applyFill="1" applyBorder="1" applyAlignment="1">
      <alignment wrapText="1"/>
    </xf>
    <xf numFmtId="164" fontId="10" fillId="16" borderId="2" xfId="0" applyNumberFormat="1" applyFont="1" applyFill="1" applyBorder="1" applyAlignment="1">
      <alignment wrapText="1"/>
    </xf>
    <xf numFmtId="0" fontId="10" fillId="16" borderId="1" xfId="0" applyFont="1" applyFill="1" applyBorder="1" applyAlignment="1">
      <alignment wrapText="1"/>
    </xf>
    <xf numFmtId="0" fontId="10" fillId="16" borderId="3" xfId="0" applyFont="1" applyFill="1" applyBorder="1" applyAlignment="1">
      <alignment wrapText="1"/>
    </xf>
    <xf numFmtId="0" fontId="10" fillId="16" borderId="4" xfId="0" applyFont="1" applyFill="1" applyBorder="1" applyAlignment="1">
      <alignment wrapText="1"/>
    </xf>
    <xf numFmtId="164" fontId="10" fillId="16" borderId="4" xfId="0" applyNumberFormat="1" applyFont="1" applyFill="1" applyBorder="1" applyAlignment="1">
      <alignment wrapText="1"/>
    </xf>
    <xf numFmtId="0" fontId="5" fillId="3" borderId="0" xfId="0" applyFont="1" applyFill="1" applyAlignment="1">
      <alignment horizontal="center"/>
    </xf>
    <xf numFmtId="0" fontId="6" fillId="3" borderId="0" xfId="0" applyFont="1" applyFill="1" applyAlignment="1">
      <alignment horizontal="center"/>
    </xf>
    <xf numFmtId="0" fontId="15" fillId="7" borderId="7" xfId="0" applyFont="1" applyFill="1" applyBorder="1" applyAlignment="1">
      <alignment horizontal="left"/>
    </xf>
    <xf numFmtId="0" fontId="15" fillId="7" borderId="9" xfId="0" applyFont="1" applyFill="1" applyBorder="1" applyAlignment="1">
      <alignment horizontal="left"/>
    </xf>
    <xf numFmtId="0" fontId="15" fillId="7" borderId="8" xfId="0" applyFont="1" applyFill="1" applyBorder="1" applyAlignment="1">
      <alignment horizontal="left"/>
    </xf>
    <xf numFmtId="0" fontId="27" fillId="2" borderId="10" xfId="0" applyFont="1" applyFill="1" applyBorder="1" applyAlignment="1">
      <alignment horizontal="center"/>
    </xf>
    <xf numFmtId="0" fontId="28" fillId="2" borderId="10" xfId="0" applyFont="1" applyFill="1" applyBorder="1" applyAlignment="1">
      <alignment horizontal="center"/>
    </xf>
    <xf numFmtId="0" fontId="25" fillId="6" borderId="0" xfId="0" applyFont="1" applyFill="1" applyBorder="1" applyAlignment="1">
      <alignment horizontal="center"/>
    </xf>
    <xf numFmtId="0" fontId="25" fillId="8" borderId="0" xfId="0" applyFont="1" applyFill="1" applyBorder="1" applyAlignment="1">
      <alignment horizontal="center"/>
    </xf>
    <xf numFmtId="0" fontId="15" fillId="9" borderId="10" xfId="0" applyFont="1" applyFill="1" applyBorder="1" applyAlignment="1">
      <alignment horizontal="left"/>
    </xf>
    <xf numFmtId="0" fontId="30" fillId="2" borderId="10" xfId="0" applyFont="1" applyFill="1" applyBorder="1" applyAlignment="1">
      <alignment horizontal="center"/>
    </xf>
    <xf numFmtId="0" fontId="31" fillId="2" borderId="10" xfId="0" applyFont="1" applyFill="1" applyBorder="1" applyAlignment="1">
      <alignment horizontal="center"/>
    </xf>
    <xf numFmtId="0" fontId="25" fillId="10" borderId="0" xfId="0" applyFont="1" applyFill="1" applyBorder="1" applyAlignment="1">
      <alignment horizontal="center"/>
    </xf>
    <xf numFmtId="0" fontId="33" fillId="2" borderId="10" xfId="0" applyFont="1" applyFill="1" applyBorder="1" applyAlignment="1">
      <alignment horizontal="center"/>
    </xf>
    <xf numFmtId="0" fontId="15" fillId="11" borderId="10" xfId="0" applyFont="1" applyFill="1" applyBorder="1" applyAlignment="1">
      <alignment horizontal="left"/>
    </xf>
    <xf numFmtId="0" fontId="15" fillId="11" borderId="7" xfId="0" applyFont="1" applyFill="1" applyBorder="1" applyAlignment="1">
      <alignment horizontal="left"/>
    </xf>
    <xf numFmtId="0" fontId="15" fillId="11" borderId="9" xfId="0" applyFont="1" applyFill="1" applyBorder="1" applyAlignment="1">
      <alignment horizontal="left"/>
    </xf>
    <xf numFmtId="0" fontId="15" fillId="14" borderId="10" xfId="0" applyFont="1" applyFill="1" applyBorder="1" applyAlignment="1">
      <alignment horizontal="left"/>
    </xf>
    <xf numFmtId="0" fontId="25" fillId="12" borderId="0" xfId="0" applyFont="1" applyFill="1" applyBorder="1" applyAlignment="1">
      <alignment horizontal="center"/>
    </xf>
    <xf numFmtId="0" fontId="35" fillId="2" borderId="10" xfId="0" applyFont="1" applyFill="1" applyBorder="1" applyAlignment="1">
      <alignment horizontal="center"/>
    </xf>
    <xf numFmtId="0" fontId="8" fillId="4" borderId="0" xfId="0" applyFont="1" applyFill="1" applyAlignment="1">
      <alignment vertical="center"/>
    </xf>
    <xf numFmtId="0" fontId="9" fillId="4" borderId="0" xfId="0" applyFont="1" applyFill="1"/>
    <xf numFmtId="0" fontId="10" fillId="4" borderId="0" xfId="0" applyFont="1" applyFill="1" applyAlignment="1">
      <alignment horizontal="center" wrapText="1"/>
    </xf>
    <xf numFmtId="0" fontId="11" fillId="4" borderId="0" xfId="0" applyFont="1" applyFill="1" applyAlignment="1">
      <alignment vertical="center" wrapText="1"/>
    </xf>
    <xf numFmtId="0" fontId="12" fillId="4" borderId="0" xfId="0" applyFont="1" applyFill="1" applyAlignment="1">
      <alignment vertical="center" wrapText="1"/>
    </xf>
    <xf numFmtId="0" fontId="11" fillId="4" borderId="0" xfId="0" applyFont="1" applyFill="1" applyAlignment="1">
      <alignment horizontal="center" vertical="center" wrapText="1"/>
    </xf>
    <xf numFmtId="0" fontId="13" fillId="4" borderId="0" xfId="0" applyFont="1" applyFill="1" applyAlignment="1">
      <alignment horizontal="center" vertical="center" wrapText="1"/>
    </xf>
    <xf numFmtId="0" fontId="13" fillId="4" borderId="0" xfId="0" applyFont="1" applyFill="1" applyAlignment="1">
      <alignment vertical="center" wrapText="1"/>
    </xf>
    <xf numFmtId="0" fontId="14" fillId="4" borderId="0" xfId="0" applyFont="1" applyFill="1" applyAlignment="1">
      <alignment vertical="center" wrapText="1"/>
    </xf>
    <xf numFmtId="0" fontId="15" fillId="4" borderId="0" xfId="0" applyFont="1" applyFill="1" applyAlignment="1">
      <alignment vertical="center"/>
    </xf>
    <xf numFmtId="0" fontId="10" fillId="4" borderId="0" xfId="0" applyFont="1" applyFill="1" applyAlignment="1">
      <alignment horizontal="center" vertical="center" wrapText="1"/>
    </xf>
    <xf numFmtId="0" fontId="7" fillId="4" borderId="0" xfId="0" applyFont="1" applyFill="1" applyAlignment="1">
      <alignment horizontal="center" wrapText="1"/>
    </xf>
    <xf numFmtId="0" fontId="16" fillId="4" borderId="0" xfId="0" applyFont="1" applyFill="1" applyAlignment="1">
      <alignment horizontal="center" wrapText="1"/>
    </xf>
    <xf numFmtId="0" fontId="39" fillId="2" borderId="0" xfId="0" applyFont="1" applyFill="1" applyAlignment="1">
      <alignment horizontal="center" vertical="center"/>
    </xf>
    <xf numFmtId="0" fontId="40" fillId="2" borderId="0" xfId="0" applyFont="1" applyFill="1" applyAlignment="1">
      <alignment horizontal="center" vertical="top" wrapText="1"/>
    </xf>
    <xf numFmtId="0" fontId="38" fillId="2" borderId="5" xfId="0" applyFont="1" applyFill="1" applyBorder="1" applyAlignment="1">
      <alignment horizontal="center"/>
    </xf>
  </cellXfs>
  <cellStyles count="4">
    <cellStyle name="Hipervínculo" xfId="3" builtinId="8"/>
    <cellStyle name="Moneda" xfId="1" builtinId="4"/>
    <cellStyle name="Normal" xfId="0" builtinId="0"/>
    <cellStyle name="Porcentaje" xfId="2" builtinId="5"/>
  </cellStyles>
  <dxfs count="0"/>
  <tableStyles count="0" defaultTableStyle="TableStyleMedium2" defaultPivotStyle="PivotStyleLight16"/>
  <colors>
    <mruColors>
      <color rgb="FF99CC00"/>
      <color rgb="FF0099FF"/>
      <color rgb="FFFF6600"/>
      <color rgb="FFCC3300"/>
      <color rgb="FFFF3300"/>
      <color rgb="FF6600CC"/>
      <color rgb="FF9933FF"/>
      <color rgb="FFFF0000"/>
      <color rgb="FF006666"/>
      <color rgb="FF0099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6" Type="http://schemas.microsoft.com/office/2006/relationships/vbaProject" Target="vbaProject.bin"/><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customXml" Target="../customXml/item3.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ustomXml" Target="../customXml/item2.xml"/></Relationships>
</file>

<file path=xl/drawings/_rels/drawing1.xml.rels><?xml version="1.0" encoding="UTF-8" standalone="yes"?>
<Relationships xmlns="http://schemas.openxmlformats.org/package/2006/relationships"><Relationship Id="rId3" Type="http://schemas.openxmlformats.org/officeDocument/2006/relationships/image" Target="../media/image2.png"/><Relationship Id="rId2" Type="http://schemas.openxmlformats.org/officeDocument/2006/relationships/image" Target="https://upload.wikimedia.org/wikipedia/commons/thumb/f/f8/Logo_Instituto_Polit%C3%A9cnico_Nacional.png/1200px-Logo_Instituto_Polit%C3%A9cnico_Nacional.png" TargetMode="External"/><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2" Type="http://schemas.openxmlformats.org/officeDocument/2006/relationships/image" Target="../media/image4.jpg"/><Relationship Id="rId1" Type="http://schemas.openxmlformats.org/officeDocument/2006/relationships/image" Target="../media/image3.jpg"/></Relationships>
</file>

<file path=xl/drawings/_rels/drawing4.xml.rels><?xml version="1.0" encoding="UTF-8" standalone="yes"?>
<Relationships xmlns="http://schemas.openxmlformats.org/package/2006/relationships"><Relationship Id="rId3" Type="http://schemas.openxmlformats.org/officeDocument/2006/relationships/image" Target="../media/image6.svg"/><Relationship Id="rId2" Type="http://schemas.openxmlformats.org/officeDocument/2006/relationships/image" Target="../media/image5.png"/><Relationship Id="rId1" Type="http://schemas.openxmlformats.org/officeDocument/2006/relationships/hyperlink" Target="#PORTADA!A1"/></Relationships>
</file>

<file path=xl/drawings/_rels/drawing5.xml.rels><?xml version="1.0" encoding="UTF-8" standalone="yes"?>
<Relationships xmlns="http://schemas.openxmlformats.org/package/2006/relationships"><Relationship Id="rId3" Type="http://schemas.openxmlformats.org/officeDocument/2006/relationships/image" Target="../media/image6.svg"/><Relationship Id="rId2" Type="http://schemas.openxmlformats.org/officeDocument/2006/relationships/image" Target="../media/image5.png"/><Relationship Id="rId1" Type="http://schemas.openxmlformats.org/officeDocument/2006/relationships/hyperlink" Target="#PORTADA!A1"/></Relationships>
</file>

<file path=xl/drawings/_rels/drawing6.xml.rels><?xml version="1.0" encoding="UTF-8" standalone="yes"?>
<Relationships xmlns="http://schemas.openxmlformats.org/package/2006/relationships"><Relationship Id="rId3" Type="http://schemas.openxmlformats.org/officeDocument/2006/relationships/image" Target="../media/image6.svg"/><Relationship Id="rId2" Type="http://schemas.openxmlformats.org/officeDocument/2006/relationships/image" Target="../media/image5.png"/><Relationship Id="rId1" Type="http://schemas.openxmlformats.org/officeDocument/2006/relationships/hyperlink" Target="#PORTADA!A1"/></Relationships>
</file>

<file path=xl/drawings/_rels/drawing8.xml.rels><?xml version="1.0" encoding="UTF-8" standalone="yes"?>
<Relationships xmlns="http://schemas.openxmlformats.org/package/2006/relationships"><Relationship Id="rId1" Type="http://schemas.openxmlformats.org/officeDocument/2006/relationships/image" Target="../media/image7.jpg"/></Relationships>
</file>

<file path=xl/drawings/drawing1.xml><?xml version="1.0" encoding="utf-8"?>
<xdr:wsDr xmlns:xdr="http://schemas.openxmlformats.org/drawingml/2006/spreadsheetDrawing" xmlns:a="http://schemas.openxmlformats.org/drawingml/2006/main">
  <xdr:twoCellAnchor>
    <xdr:from>
      <xdr:col>9</xdr:col>
      <xdr:colOff>314325</xdr:colOff>
      <xdr:row>17</xdr:row>
      <xdr:rowOff>28575</xdr:rowOff>
    </xdr:from>
    <xdr:to>
      <xdr:col>9</xdr:col>
      <xdr:colOff>499056</xdr:colOff>
      <xdr:row>18</xdr:row>
      <xdr:rowOff>110255</xdr:rowOff>
    </xdr:to>
    <xdr:sp macro="" textlink="">
      <xdr:nvSpPr>
        <xdr:cNvPr id="104" name="TextBox 160">
          <a:extLst>
            <a:ext uri="{FF2B5EF4-FFF2-40B4-BE49-F238E27FC236}">
              <a16:creationId xmlns:a16="http://schemas.microsoft.com/office/drawing/2014/main" id="{C316094C-A189-4E6B-8B6B-B8FF07ECBF15}"/>
            </a:ext>
            <a:ext uri="{147F2762-F138-4A5C-976F-8EAC2B608ADB}">
              <a16:predDERef xmlns:a16="http://schemas.microsoft.com/office/drawing/2014/main" pred="{E9E2532E-386A-4ED5-BA32-940CC9BBB36B}"/>
            </a:ext>
          </a:extLst>
        </xdr:cNvPr>
        <xdr:cNvSpPr txBox="1"/>
      </xdr:nvSpPr>
      <xdr:spPr>
        <a:xfrm>
          <a:off x="7820025" y="324421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es-MX" sz="1100"/>
        </a:p>
      </xdr:txBody>
    </xdr:sp>
    <xdr:clientData/>
  </xdr:twoCellAnchor>
  <xdr:twoCellAnchor>
    <xdr:from>
      <xdr:col>3</xdr:col>
      <xdr:colOff>295275</xdr:colOff>
      <xdr:row>17</xdr:row>
      <xdr:rowOff>19050</xdr:rowOff>
    </xdr:from>
    <xdr:to>
      <xdr:col>3</xdr:col>
      <xdr:colOff>480006</xdr:colOff>
      <xdr:row>18</xdr:row>
      <xdr:rowOff>165234</xdr:rowOff>
    </xdr:to>
    <xdr:sp macro="" textlink="">
      <xdr:nvSpPr>
        <xdr:cNvPr id="103" name="TextBox 164">
          <a:extLst>
            <a:ext uri="{FF2B5EF4-FFF2-40B4-BE49-F238E27FC236}">
              <a16:creationId xmlns:a16="http://schemas.microsoft.com/office/drawing/2014/main" id="{E05F26C9-2B5C-418A-BF86-36DC1FB81978}"/>
            </a:ext>
            <a:ext uri="{147F2762-F138-4A5C-976F-8EAC2B608ADB}">
              <a16:predDERef xmlns:a16="http://schemas.microsoft.com/office/drawing/2014/main" pred="{C316094C-A189-4E6B-8B6B-B8FF07ECBF15}"/>
            </a:ext>
          </a:extLst>
        </xdr:cNvPr>
        <xdr:cNvSpPr txBox="1"/>
      </xdr:nvSpPr>
      <xdr:spPr>
        <a:xfrm>
          <a:off x="3091815" y="3234690"/>
          <a:ext cx="184731" cy="329064"/>
        </a:xfrm>
        <a:prstGeom prst="rect">
          <a:avLst/>
        </a:prstGeom>
        <a:noFill/>
      </xdr:spPr>
      <xdr:style>
        <a:lnRef idx="0">
          <a:scrgbClr r="0" g="0" b="0"/>
        </a:lnRef>
        <a:fillRef idx="0">
          <a:scrgbClr r="0" g="0" b="0"/>
        </a:fillRef>
        <a:effectRef idx="0">
          <a:scrgbClr r="0" g="0" b="0"/>
        </a:effectRef>
        <a:fontRef idx="minor">
          <a:schemeClr val="tx1"/>
        </a:fontRef>
      </xdr:style>
      <xdr:txBody>
        <a:bodyPr wrap="none" rtlCol="0" anchor="t">
          <a:spAutoFit/>
        </a:bodyPr>
        <a:lstStyle>
          <a:lvl1pPr marL="0" indent="0">
            <a:defRPr sz="1100">
              <a:solidFill>
                <a:schemeClr val="tx1"/>
              </a:solidFill>
              <a:latin typeface="+mn-lt"/>
              <a:ea typeface="+mn-ea"/>
              <a:cs typeface="+mn-cs"/>
            </a:defRPr>
          </a:lvl1pPr>
          <a:lvl2pPr marL="457200" indent="0">
            <a:defRPr sz="1100">
              <a:solidFill>
                <a:schemeClr val="tx1"/>
              </a:solidFill>
              <a:latin typeface="+mn-lt"/>
              <a:ea typeface="+mn-ea"/>
              <a:cs typeface="+mn-cs"/>
            </a:defRPr>
          </a:lvl2pPr>
          <a:lvl3pPr marL="914400" indent="0">
            <a:defRPr sz="1100">
              <a:solidFill>
                <a:schemeClr val="tx1"/>
              </a:solidFill>
              <a:latin typeface="+mn-lt"/>
              <a:ea typeface="+mn-ea"/>
              <a:cs typeface="+mn-cs"/>
            </a:defRPr>
          </a:lvl3pPr>
          <a:lvl4pPr marL="1371600" indent="0">
            <a:defRPr sz="1100">
              <a:solidFill>
                <a:schemeClr val="tx1"/>
              </a:solidFill>
              <a:latin typeface="+mn-lt"/>
              <a:ea typeface="+mn-ea"/>
              <a:cs typeface="+mn-cs"/>
            </a:defRPr>
          </a:lvl4pPr>
          <a:lvl5pPr marL="1828800" indent="0">
            <a:defRPr sz="1100">
              <a:solidFill>
                <a:schemeClr val="tx1"/>
              </a:solidFill>
              <a:latin typeface="+mn-lt"/>
              <a:ea typeface="+mn-ea"/>
              <a:cs typeface="+mn-cs"/>
            </a:defRPr>
          </a:lvl5pPr>
          <a:lvl6pPr marL="2286000" indent="0">
            <a:defRPr sz="1100">
              <a:solidFill>
                <a:schemeClr val="tx1"/>
              </a:solidFill>
              <a:latin typeface="+mn-lt"/>
              <a:ea typeface="+mn-ea"/>
              <a:cs typeface="+mn-cs"/>
            </a:defRPr>
          </a:lvl6pPr>
          <a:lvl7pPr marL="2743200" indent="0">
            <a:defRPr sz="1100">
              <a:solidFill>
                <a:schemeClr val="tx1"/>
              </a:solidFill>
              <a:latin typeface="+mn-lt"/>
              <a:ea typeface="+mn-ea"/>
              <a:cs typeface="+mn-cs"/>
            </a:defRPr>
          </a:lvl7pPr>
          <a:lvl8pPr marL="3200400" indent="0">
            <a:defRPr sz="1100">
              <a:solidFill>
                <a:schemeClr val="tx1"/>
              </a:solidFill>
              <a:latin typeface="+mn-lt"/>
              <a:ea typeface="+mn-ea"/>
              <a:cs typeface="+mn-cs"/>
            </a:defRPr>
          </a:lvl8pPr>
          <a:lvl9pPr marL="3657600" indent="0">
            <a:defRPr sz="1100">
              <a:solidFill>
                <a:schemeClr val="tx1"/>
              </a:solidFill>
              <a:latin typeface="+mn-lt"/>
              <a:ea typeface="+mn-ea"/>
              <a:cs typeface="+mn-cs"/>
            </a:defRPr>
          </a:lvl9pPr>
        </a:lstStyle>
        <a:p>
          <a:endParaRPr lang="es-MX" sz="1600" baseline="0">
            <a:latin typeface="Abadi Extra Light" panose="020B0204020104020204" pitchFamily="34" charset="0"/>
          </a:endParaRPr>
        </a:p>
      </xdr:txBody>
    </xdr:sp>
    <xdr:clientData/>
  </xdr:twoCellAnchor>
  <xdr:twoCellAnchor editAs="oneCell">
    <xdr:from>
      <xdr:col>4</xdr:col>
      <xdr:colOff>609600</xdr:colOff>
      <xdr:row>0</xdr:row>
      <xdr:rowOff>19050</xdr:rowOff>
    </xdr:from>
    <xdr:to>
      <xdr:col>6</xdr:col>
      <xdr:colOff>165600</xdr:colOff>
      <xdr:row>5</xdr:row>
      <xdr:rowOff>51300</xdr:rowOff>
    </xdr:to>
    <xdr:pic>
      <xdr:nvPicPr>
        <xdr:cNvPr id="24" name="Imagen 23">
          <a:extLst>
            <a:ext uri="{FF2B5EF4-FFF2-40B4-BE49-F238E27FC236}">
              <a16:creationId xmlns:a16="http://schemas.microsoft.com/office/drawing/2014/main" id="{4601E452-B0A5-42D7-AB77-AEAE3D3D4E94}"/>
            </a:ext>
          </a:extLst>
        </xdr:cNvPr>
        <xdr:cNvPicPr/>
      </xdr:nvPicPr>
      <xdr:blipFill>
        <a:blip xmlns:r="http://schemas.openxmlformats.org/officeDocument/2006/relationships" r:embed="rId1" r:link="rId2" cstate="print">
          <a:extLst>
            <a:ext uri="{28A0092B-C50C-407E-A947-70E740481C1C}">
              <a14:useLocalDpi xmlns:a14="http://schemas.microsoft.com/office/drawing/2010/main" val="0"/>
            </a:ext>
          </a:extLst>
        </a:blip>
        <a:srcRect l="17500" r="20000"/>
        <a:stretch>
          <a:fillRect/>
        </a:stretch>
      </xdr:blipFill>
      <xdr:spPr bwMode="auto">
        <a:xfrm>
          <a:off x="3657600" y="19050"/>
          <a:ext cx="1080000" cy="1137150"/>
        </a:xfrm>
        <a:prstGeom prst="rect">
          <a:avLst/>
        </a:prstGeom>
        <a:noFill/>
        <a:ln>
          <a:noFill/>
        </a:ln>
        <a:effectLst>
          <a:outerShdw blurRad="63500" sx="102000" sy="102000" algn="ctr" rotWithShape="0">
            <a:prstClr val="black">
              <a:alpha val="40000"/>
            </a:prstClr>
          </a:outerShdw>
        </a:effectLst>
      </xdr:spPr>
    </xdr:pic>
    <xdr:clientData/>
  </xdr:twoCellAnchor>
  <xdr:twoCellAnchor editAs="oneCell">
    <xdr:from>
      <xdr:col>10</xdr:col>
      <xdr:colOff>152400</xdr:colOff>
      <xdr:row>0</xdr:row>
      <xdr:rowOff>95250</xdr:rowOff>
    </xdr:from>
    <xdr:to>
      <xdr:col>11</xdr:col>
      <xdr:colOff>617941</xdr:colOff>
      <xdr:row>4</xdr:row>
      <xdr:rowOff>231150</xdr:rowOff>
    </xdr:to>
    <xdr:pic>
      <xdr:nvPicPr>
        <xdr:cNvPr id="25" name="Imagen 24">
          <a:extLst>
            <a:ext uri="{FF2B5EF4-FFF2-40B4-BE49-F238E27FC236}">
              <a16:creationId xmlns:a16="http://schemas.microsoft.com/office/drawing/2014/main" id="{3DCFE9C2-19DC-47F7-97E4-F98F6F27F7BF}"/>
            </a:ext>
          </a:extLst>
        </xdr:cNvPr>
        <xdr:cNvPicPr>
          <a:picLocks noChangeAspect="1"/>
        </xdr:cNvPicPr>
      </xdr:nvPicPr>
      <xdr:blipFill>
        <a:blip xmlns:r="http://schemas.openxmlformats.org/officeDocument/2006/relationships" r:embed="rId3" cstate="print">
          <a:extLst>
            <a:ext uri="{28A0092B-C50C-407E-A947-70E740481C1C}">
              <a14:useLocalDpi xmlns:a14="http://schemas.microsoft.com/office/drawing/2010/main" val="0"/>
            </a:ext>
          </a:extLst>
        </a:blip>
        <a:stretch>
          <a:fillRect/>
        </a:stretch>
      </xdr:blipFill>
      <xdr:spPr>
        <a:xfrm>
          <a:off x="7772400" y="95250"/>
          <a:ext cx="1227541" cy="993150"/>
        </a:xfrm>
        <a:prstGeom prst="rect">
          <a:avLst/>
        </a:prstGeom>
        <a:effectLst>
          <a:outerShdw blurRad="63500" sx="102000" sy="102000" algn="ctr" rotWithShape="0">
            <a:prstClr val="black">
              <a:alpha val="40000"/>
            </a:prstClr>
          </a:outerShdw>
        </a:effectLst>
      </xdr:spPr>
    </xdr:pic>
    <xdr:clientData/>
  </xdr:twoCellAnchor>
  <xdr:twoCellAnchor>
    <xdr:from>
      <xdr:col>7</xdr:col>
      <xdr:colOff>390525</xdr:colOff>
      <xdr:row>16</xdr:row>
      <xdr:rowOff>161925</xdr:rowOff>
    </xdr:from>
    <xdr:to>
      <xdr:col>8</xdr:col>
      <xdr:colOff>390525</xdr:colOff>
      <xdr:row>18</xdr:row>
      <xdr:rowOff>159975</xdr:rowOff>
    </xdr:to>
    <xdr:sp macro="[0]!Antecedentes" textlink="">
      <xdr:nvSpPr>
        <xdr:cNvPr id="27" name="Rectángulo: esquinas redondeadas 26">
          <a:extLst>
            <a:ext uri="{FF2B5EF4-FFF2-40B4-BE49-F238E27FC236}">
              <a16:creationId xmlns:a16="http://schemas.microsoft.com/office/drawing/2014/main" id="{1A86B5B2-BED0-4051-A534-E7724CFBB33B}"/>
            </a:ext>
          </a:extLst>
        </xdr:cNvPr>
        <xdr:cNvSpPr/>
      </xdr:nvSpPr>
      <xdr:spPr>
        <a:xfrm>
          <a:off x="5724525" y="3800475"/>
          <a:ext cx="762000" cy="360000"/>
        </a:xfrm>
        <a:prstGeom prst="roundRect">
          <a:avLst>
            <a:gd name="adj" fmla="val 50000"/>
          </a:avLst>
        </a:prstGeom>
        <a:solidFill>
          <a:schemeClr val="bg2">
            <a:lumMod val="50000"/>
          </a:schemeClr>
        </a:solidFill>
        <a:effectLst>
          <a:outerShdw blurRad="63500" sx="102000" sy="102000" algn="ctr" rotWithShape="0">
            <a:prstClr val="black">
              <a:alpha val="40000"/>
            </a:prstClr>
          </a:outerShdw>
        </a:effectLst>
        <a:scene3d>
          <a:camera prst="orthographicFront"/>
          <a:lightRig rig="threePt" dir="t"/>
        </a:scene3d>
        <a:sp3d>
          <a:bevelT/>
        </a:sp3d>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ctr"/>
          <a:r>
            <a:rPr lang="es-MX" sz="1100" b="1">
              <a:solidFill>
                <a:schemeClr val="bg1">
                  <a:lumMod val="95000"/>
                </a:schemeClr>
              </a:solidFill>
              <a:latin typeface="Bahnschrift Light" panose="020B0502040204020203" pitchFamily="34" charset="0"/>
            </a:rPr>
            <a:t>Iniciar</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12</xdr:col>
      <xdr:colOff>295274</xdr:colOff>
      <xdr:row>0</xdr:row>
      <xdr:rowOff>180975</xdr:rowOff>
    </xdr:from>
    <xdr:to>
      <xdr:col>13</xdr:col>
      <xdr:colOff>476249</xdr:colOff>
      <xdr:row>1</xdr:row>
      <xdr:rowOff>74250</xdr:rowOff>
    </xdr:to>
    <xdr:sp macro="[0]!Simulador" textlink="">
      <xdr:nvSpPr>
        <xdr:cNvPr id="3" name="Rectángulo: esquinas redondeadas 2">
          <a:extLst>
            <a:ext uri="{FF2B5EF4-FFF2-40B4-BE49-F238E27FC236}">
              <a16:creationId xmlns:a16="http://schemas.microsoft.com/office/drawing/2014/main" id="{1FD57E8D-26BD-4445-9488-B37347A26609}"/>
            </a:ext>
          </a:extLst>
        </xdr:cNvPr>
        <xdr:cNvSpPr/>
      </xdr:nvSpPr>
      <xdr:spPr>
        <a:xfrm>
          <a:off x="9439274" y="180975"/>
          <a:ext cx="942975" cy="360000"/>
        </a:xfrm>
        <a:prstGeom prst="roundRect">
          <a:avLst>
            <a:gd name="adj" fmla="val 50000"/>
          </a:avLst>
        </a:prstGeom>
        <a:solidFill>
          <a:schemeClr val="bg2">
            <a:lumMod val="50000"/>
          </a:schemeClr>
        </a:solidFill>
        <a:effectLst>
          <a:outerShdw blurRad="63500" sx="102000" sy="102000" algn="ctr" rotWithShape="0">
            <a:prstClr val="black">
              <a:alpha val="40000"/>
            </a:prstClr>
          </a:outerShdw>
        </a:effectLst>
        <a:scene3d>
          <a:camera prst="orthographicFront"/>
          <a:lightRig rig="threePt" dir="t"/>
        </a:scene3d>
        <a:sp3d>
          <a:bevelT/>
        </a:sp3d>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ctr"/>
          <a:r>
            <a:rPr lang="es-MX" sz="1100" b="1">
              <a:solidFill>
                <a:schemeClr val="bg1">
                  <a:lumMod val="95000"/>
                </a:schemeClr>
              </a:solidFill>
              <a:latin typeface="Bahnschrift Light" panose="020B0502040204020203" pitchFamily="34" charset="0"/>
            </a:rPr>
            <a:t>Simulador</a:t>
          </a:r>
        </a:p>
      </xdr:txBody>
    </xdr:sp>
    <xdr:clientData/>
  </xdr:twoCellAnchor>
  <xdr:twoCellAnchor editAs="oneCell">
    <xdr:from>
      <xdr:col>0</xdr:col>
      <xdr:colOff>249841</xdr:colOff>
      <xdr:row>11</xdr:row>
      <xdr:rowOff>73958</xdr:rowOff>
    </xdr:from>
    <xdr:to>
      <xdr:col>7</xdr:col>
      <xdr:colOff>59763</xdr:colOff>
      <xdr:row>26</xdr:row>
      <xdr:rowOff>105895</xdr:rowOff>
    </xdr:to>
    <xdr:pic>
      <xdr:nvPicPr>
        <xdr:cNvPr id="4" name="Imagen 3">
          <a:extLst>
            <a:ext uri="{FF2B5EF4-FFF2-40B4-BE49-F238E27FC236}">
              <a16:creationId xmlns:a16="http://schemas.microsoft.com/office/drawing/2014/main" id="{5136D35E-4FA1-447D-8401-8ACCCF310FF7}"/>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249841" y="2445683"/>
          <a:ext cx="5143922" cy="2889437"/>
        </a:xfrm>
        <a:prstGeom prst="rect">
          <a:avLst/>
        </a:prstGeom>
        <a:ln w="127000" cap="rnd">
          <a:solidFill>
            <a:srgbClr val="FFFFFF"/>
          </a:solidFill>
        </a:ln>
        <a:effectLst>
          <a:outerShdw blurRad="76200" dist="95250" dir="10500000" sx="97000" sy="23000" kx="900000" algn="br" rotWithShape="0">
            <a:srgbClr val="000000">
              <a:alpha val="20000"/>
            </a:srgbClr>
          </a:outerShdw>
        </a:effectLst>
        <a:scene3d>
          <a:camera prst="orthographicFront"/>
          <a:lightRig rig="twoPt" dir="t">
            <a:rot lat="0" lon="0" rev="7800000"/>
          </a:lightRig>
        </a:scene3d>
        <a:sp3d contourW="6350">
          <a:bevelT w="50800" h="16510"/>
          <a:contourClr>
            <a:srgbClr val="C0C0C0"/>
          </a:contourClr>
        </a:sp3d>
      </xdr:spPr>
    </xdr:pic>
    <xdr:clientData/>
  </xdr:twoCellAnchor>
  <xdr:twoCellAnchor editAs="oneCell">
    <xdr:from>
      <xdr:col>8</xdr:col>
      <xdr:colOff>311523</xdr:colOff>
      <xdr:row>2</xdr:row>
      <xdr:rowOff>125345</xdr:rowOff>
    </xdr:from>
    <xdr:to>
      <xdr:col>16</xdr:col>
      <xdr:colOff>413496</xdr:colOff>
      <xdr:row>20</xdr:row>
      <xdr:rowOff>177862</xdr:rowOff>
    </xdr:to>
    <xdr:pic>
      <xdr:nvPicPr>
        <xdr:cNvPr id="5" name="Imagen 4">
          <a:extLst>
            <a:ext uri="{FF2B5EF4-FFF2-40B4-BE49-F238E27FC236}">
              <a16:creationId xmlns:a16="http://schemas.microsoft.com/office/drawing/2014/main" id="{2B41C053-716B-451C-A804-B557A6B8548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407523" y="782570"/>
          <a:ext cx="6197973" cy="3481517"/>
        </a:xfrm>
        <a:prstGeom prst="rect">
          <a:avLst/>
        </a:prstGeom>
        <a:ln w="127000" cap="rnd">
          <a:solidFill>
            <a:srgbClr val="FFFFFF"/>
          </a:solidFill>
        </a:ln>
        <a:effectLst>
          <a:outerShdw blurRad="76200" dist="95250" dir="10500000" sx="97000" sy="23000" kx="900000" algn="br" rotWithShape="0">
            <a:srgbClr val="000000">
              <a:alpha val="20000"/>
            </a:srgbClr>
          </a:outerShdw>
        </a:effectLst>
        <a:scene3d>
          <a:camera prst="orthographicFront"/>
          <a:lightRig rig="twoPt" dir="t">
            <a:rot lat="0" lon="0" rev="7800000"/>
          </a:lightRig>
        </a:scene3d>
        <a:sp3d contourW="6350">
          <a:bevelT w="50800" h="16510"/>
          <a:contourClr>
            <a:srgbClr val="C0C0C0"/>
          </a:contourClr>
        </a:sp3d>
      </xdr:spPr>
    </xdr:pic>
    <xdr:clientData/>
  </xdr:twoCellAnchor>
  <xdr:twoCellAnchor>
    <xdr:from>
      <xdr:col>0</xdr:col>
      <xdr:colOff>215714</xdr:colOff>
      <xdr:row>0</xdr:row>
      <xdr:rowOff>406212</xdr:rowOff>
    </xdr:from>
    <xdr:to>
      <xdr:col>5</xdr:col>
      <xdr:colOff>625290</xdr:colOff>
      <xdr:row>10</xdr:row>
      <xdr:rowOff>95250</xdr:rowOff>
    </xdr:to>
    <xdr:sp macro="" textlink="">
      <xdr:nvSpPr>
        <xdr:cNvPr id="2" name="CuadroTexto 1">
          <a:extLst>
            <a:ext uri="{FF2B5EF4-FFF2-40B4-BE49-F238E27FC236}">
              <a16:creationId xmlns:a16="http://schemas.microsoft.com/office/drawing/2014/main" id="{E964F7D3-2D18-4B11-9320-3C44065C6D7A}"/>
            </a:ext>
          </a:extLst>
        </xdr:cNvPr>
        <xdr:cNvSpPr txBox="1"/>
      </xdr:nvSpPr>
      <xdr:spPr>
        <a:xfrm>
          <a:off x="215714" y="406212"/>
          <a:ext cx="4219576" cy="1870263"/>
        </a:xfrm>
        <a:prstGeom prst="rect">
          <a:avLst/>
        </a:prstGeom>
        <a:gradFill flip="none" rotWithShape="1">
          <a:gsLst>
            <a:gs pos="0">
              <a:schemeClr val="accent5">
                <a:lumMod val="67000"/>
              </a:schemeClr>
            </a:gs>
            <a:gs pos="48000">
              <a:schemeClr val="accent5">
                <a:lumMod val="97000"/>
                <a:lumOff val="3000"/>
              </a:schemeClr>
            </a:gs>
            <a:gs pos="100000">
              <a:schemeClr val="accent5">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t"/>
        <a:lstStyle/>
        <a:p>
          <a:r>
            <a:rPr lang="es-ES" sz="1100" b="1" i="1" cap="none" spc="0">
              <a:ln w="0"/>
              <a:solidFill>
                <a:schemeClr val="tx1"/>
              </a:solidFill>
              <a:effectLst>
                <a:outerShdw blurRad="38100" dist="19050" dir="2700000" algn="tl" rotWithShape="0">
                  <a:schemeClr val="dk1">
                    <a:alpha val="40000"/>
                  </a:schemeClr>
                </a:outerShdw>
              </a:effectLst>
              <a:latin typeface="Bahnschrift Light" panose="020B0502040204020203" pitchFamily="34" charset="0"/>
            </a:rPr>
            <a:t>La amortización </a:t>
          </a:r>
          <a:r>
            <a:rPr lang="es-ES" sz="1100" b="0" i="1" cap="none" spc="0">
              <a:ln w="0"/>
              <a:solidFill>
                <a:schemeClr val="tx1"/>
              </a:solidFill>
              <a:effectLst>
                <a:outerShdw blurRad="38100" dist="19050" dir="2700000" algn="tl" rotWithShape="0">
                  <a:schemeClr val="dk1">
                    <a:alpha val="40000"/>
                  </a:schemeClr>
                </a:outerShdw>
              </a:effectLst>
              <a:latin typeface="Bahnschrift Light" panose="020B0502040204020203" pitchFamily="34" charset="0"/>
            </a:rPr>
            <a:t>de una obligación o deuda se define como el proceso mediante el cualse paga la misma junto con sus intereses, en una serie de pagos y en un tiempodeterminado. Para visualizar de manera fácil como se paga una deuda, se realiza unatabla de amortización, la cual, es un cuadro donde se describe el comportamiento delcrédito en lo referente a saldo, cuota cancelada, intereses generados por el préstamo,abonos a capital. En ocasiones la cuota pagada en un préstamo se dedica primero apagar los intereses y lo que sobre se considera abono a capital.</a:t>
          </a:r>
        </a:p>
      </xdr:txBody>
    </xdr:sp>
    <xdr:clientData/>
  </xdr:twoCellAnchor>
  <xdr:twoCellAnchor>
    <xdr:from>
      <xdr:col>8</xdr:col>
      <xdr:colOff>269087</xdr:colOff>
      <xdr:row>21</xdr:row>
      <xdr:rowOff>103290</xdr:rowOff>
    </xdr:from>
    <xdr:to>
      <xdr:col>15</xdr:col>
      <xdr:colOff>161925</xdr:colOff>
      <xdr:row>31</xdr:row>
      <xdr:rowOff>38100</xdr:rowOff>
    </xdr:to>
    <xdr:sp macro="" textlink="">
      <xdr:nvSpPr>
        <xdr:cNvPr id="6" name="CuadroTexto 5">
          <a:extLst>
            <a:ext uri="{FF2B5EF4-FFF2-40B4-BE49-F238E27FC236}">
              <a16:creationId xmlns:a16="http://schemas.microsoft.com/office/drawing/2014/main" id="{8FB43B55-9720-451F-B79E-D8E29698A2A8}"/>
            </a:ext>
          </a:extLst>
        </xdr:cNvPr>
        <xdr:cNvSpPr txBox="1"/>
      </xdr:nvSpPr>
      <xdr:spPr>
        <a:xfrm>
          <a:off x="6365087" y="4380015"/>
          <a:ext cx="5226838" cy="1839810"/>
        </a:xfrm>
        <a:prstGeom prst="rect">
          <a:avLst/>
        </a:prstGeom>
        <a:gradFill flip="none" rotWithShape="1">
          <a:gsLst>
            <a:gs pos="0">
              <a:schemeClr val="accent1">
                <a:lumMod val="67000"/>
              </a:schemeClr>
            </a:gs>
            <a:gs pos="48000">
              <a:schemeClr val="accent1">
                <a:lumMod val="97000"/>
                <a:lumOff val="3000"/>
              </a:schemeClr>
            </a:gs>
            <a:gs pos="100000">
              <a:schemeClr val="accent1">
                <a:lumMod val="60000"/>
                <a:lumOff val="40000"/>
              </a:schemeClr>
            </a:gs>
          </a:gsLst>
          <a:lin ang="16200000" scaled="1"/>
          <a:tileRect/>
        </a:gradFill>
        <a:ln>
          <a:noFill/>
        </a:ln>
      </xdr:spPr>
      <xdr:style>
        <a:lnRef idx="0">
          <a:scrgbClr r="0" g="0" b="0"/>
        </a:lnRef>
        <a:fillRef idx="0">
          <a:scrgbClr r="0" g="0" b="0"/>
        </a:fillRef>
        <a:effectRef idx="0">
          <a:scrgbClr r="0" g="0" b="0"/>
        </a:effectRef>
        <a:fontRef idx="minor">
          <a:schemeClr val="lt1"/>
        </a:fontRef>
      </xdr:style>
      <xdr:txBody>
        <a:bodyPr vertOverflow="clip" horzOverflow="clip" wrap="square" rtlCol="0" anchor="t"/>
        <a:lstStyle/>
        <a:p>
          <a:r>
            <a:rPr lang="es-ES" sz="1100" b="1" i="1" u="none">
              <a:solidFill>
                <a:schemeClr val="tx1"/>
              </a:solidFill>
              <a:latin typeface="Bahnschrift Light" panose="020B0502040204020203" pitchFamily="34" charset="0"/>
            </a:rPr>
            <a:t>La tabla de amortización sirve para conocer cómo dividirán los pagos de tu crédito. En otras palabras, es el plan de pago de la deuda al obtener un créditoLa amortización es el proceso financiero mediante el cual se extingue, gradualmente, una deuda por medio de pagos periódicos, que pueden ser iguales o diferentes. </a:t>
          </a:r>
          <a:br>
            <a:rPr lang="es-ES" sz="1100" b="1" i="1" u="none">
              <a:solidFill>
                <a:schemeClr val="tx1"/>
              </a:solidFill>
              <a:latin typeface="Bahnschrift Light" panose="020B0502040204020203" pitchFamily="34" charset="0"/>
            </a:rPr>
          </a:br>
          <a:r>
            <a:rPr lang="es-ES" sz="1100" b="1" i="1" u="none">
              <a:solidFill>
                <a:schemeClr val="tx1"/>
              </a:solidFill>
              <a:latin typeface="Bahnschrift Light" panose="020B0502040204020203" pitchFamily="34" charset="0"/>
            </a:rPr>
            <a:t>En las amortizaciones de una deuda, cada pago o cuota que se entrega sirve para pagar parte de los intereses y reducir el importe de la deuda.</a:t>
          </a:r>
          <a:br>
            <a:rPr lang="es-ES" sz="1100" b="1" i="1" u="none">
              <a:solidFill>
                <a:schemeClr val="tx1"/>
              </a:solidFill>
              <a:latin typeface="Bahnschrift Light" panose="020B0502040204020203" pitchFamily="34" charset="0"/>
            </a:rPr>
          </a:br>
          <a:r>
            <a:rPr lang="es-ES" sz="1100" b="1" i="1" u="none">
              <a:solidFill>
                <a:schemeClr val="tx1"/>
              </a:solidFill>
              <a:latin typeface="Bahnschrift Light" panose="020B0502040204020203" pitchFamily="34" charset="0"/>
            </a:rPr>
            <a:t>Un cuadro de amortización es una tabla donde se muestra el calendario de pagos (principal e intereses) que se tiene que afrontar al concederse un préstamo</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8</xdr:col>
      <xdr:colOff>687457</xdr:colOff>
      <xdr:row>5</xdr:row>
      <xdr:rowOff>0</xdr:rowOff>
    </xdr:from>
    <xdr:to>
      <xdr:col>9</xdr:col>
      <xdr:colOff>664597</xdr:colOff>
      <xdr:row>5</xdr:row>
      <xdr:rowOff>252000</xdr:rowOff>
    </xdr:to>
    <xdr:sp macro="" textlink="">
      <xdr:nvSpPr>
        <xdr:cNvPr id="11" name="Flecha: a la derecha 10">
          <a:extLst>
            <a:ext uri="{FF2B5EF4-FFF2-40B4-BE49-F238E27FC236}">
              <a16:creationId xmlns:a16="http://schemas.microsoft.com/office/drawing/2014/main" id="{684DD7C5-7C8F-4C73-ADB0-9BE7D230B7CF}"/>
            </a:ext>
          </a:extLst>
        </xdr:cNvPr>
        <xdr:cNvSpPr/>
      </xdr:nvSpPr>
      <xdr:spPr>
        <a:xfrm>
          <a:off x="5955196" y="1391478"/>
          <a:ext cx="739140" cy="2520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687457</xdr:colOff>
      <xdr:row>7</xdr:row>
      <xdr:rowOff>0</xdr:rowOff>
    </xdr:from>
    <xdr:to>
      <xdr:col>9</xdr:col>
      <xdr:colOff>664597</xdr:colOff>
      <xdr:row>7</xdr:row>
      <xdr:rowOff>252000</xdr:rowOff>
    </xdr:to>
    <xdr:sp macro="" textlink="">
      <xdr:nvSpPr>
        <xdr:cNvPr id="12" name="Flecha: a la derecha 11">
          <a:extLst>
            <a:ext uri="{FF2B5EF4-FFF2-40B4-BE49-F238E27FC236}">
              <a16:creationId xmlns:a16="http://schemas.microsoft.com/office/drawing/2014/main" id="{E38E9E1C-A576-4EF4-908F-54AC7A16AC3B}"/>
            </a:ext>
          </a:extLst>
        </xdr:cNvPr>
        <xdr:cNvSpPr/>
      </xdr:nvSpPr>
      <xdr:spPr>
        <a:xfrm>
          <a:off x="5955196" y="1847022"/>
          <a:ext cx="739140" cy="2520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s-MX" sz="1100"/>
        </a:p>
      </xdr:txBody>
    </xdr:sp>
    <xdr:clientData/>
  </xdr:twoCellAnchor>
  <xdr:twoCellAnchor>
    <xdr:from>
      <xdr:col>8</xdr:col>
      <xdr:colOff>687457</xdr:colOff>
      <xdr:row>9</xdr:row>
      <xdr:rowOff>0</xdr:rowOff>
    </xdr:from>
    <xdr:to>
      <xdr:col>9</xdr:col>
      <xdr:colOff>664597</xdr:colOff>
      <xdr:row>9</xdr:row>
      <xdr:rowOff>252000</xdr:rowOff>
    </xdr:to>
    <xdr:sp macro="" textlink="">
      <xdr:nvSpPr>
        <xdr:cNvPr id="13" name="Flecha: a la derecha 12">
          <a:extLst>
            <a:ext uri="{FF2B5EF4-FFF2-40B4-BE49-F238E27FC236}">
              <a16:creationId xmlns:a16="http://schemas.microsoft.com/office/drawing/2014/main" id="{F86D68A0-C81A-4551-A05B-2DDD42E5739D}"/>
            </a:ext>
          </a:extLst>
        </xdr:cNvPr>
        <xdr:cNvSpPr/>
      </xdr:nvSpPr>
      <xdr:spPr>
        <a:xfrm>
          <a:off x="5955196" y="2302565"/>
          <a:ext cx="739140" cy="252000"/>
        </a:xfrm>
        <a:prstGeom prst="rightArrow">
          <a:avLst/>
        </a:prstGeom>
      </xdr:spPr>
      <xdr:style>
        <a:lnRef idx="0">
          <a:schemeClr val="accent4"/>
        </a:lnRef>
        <a:fillRef idx="3">
          <a:schemeClr val="accent4"/>
        </a:fillRef>
        <a:effectRef idx="3">
          <a:schemeClr val="accent4"/>
        </a:effectRef>
        <a:fontRef idx="minor">
          <a:schemeClr val="lt1"/>
        </a:fontRef>
      </xdr:style>
      <xdr:txBody>
        <a:bodyPr vertOverflow="clip" horzOverflow="clip" rtlCol="0" anchor="t"/>
        <a:lstStyle/>
        <a:p>
          <a:pPr algn="l"/>
          <a:endParaRPr lang="es-MX" sz="1100"/>
        </a:p>
      </xdr:txBody>
    </xdr:sp>
    <xdr:clientData/>
  </xdr:twoCellAnchor>
  <xdr:twoCellAnchor>
    <xdr:from>
      <xdr:col>4</xdr:col>
      <xdr:colOff>295275</xdr:colOff>
      <xdr:row>12</xdr:row>
      <xdr:rowOff>0</xdr:rowOff>
    </xdr:from>
    <xdr:to>
      <xdr:col>5</xdr:col>
      <xdr:colOff>476250</xdr:colOff>
      <xdr:row>13</xdr:row>
      <xdr:rowOff>169500</xdr:rowOff>
    </xdr:to>
    <xdr:sp macro="[0]!Decreciente" textlink="">
      <xdr:nvSpPr>
        <xdr:cNvPr id="35" name="Rectángulo: esquinas redondeadas 34">
          <a:extLst>
            <a:ext uri="{FF2B5EF4-FFF2-40B4-BE49-F238E27FC236}">
              <a16:creationId xmlns:a16="http://schemas.microsoft.com/office/drawing/2014/main" id="{E5758841-1C1B-4A53-8A58-6BA742359E54}"/>
            </a:ext>
          </a:extLst>
        </xdr:cNvPr>
        <xdr:cNvSpPr/>
      </xdr:nvSpPr>
      <xdr:spPr>
        <a:xfrm>
          <a:off x="3343275" y="2762250"/>
          <a:ext cx="942975" cy="360000"/>
        </a:xfrm>
        <a:prstGeom prst="roundRect">
          <a:avLst>
            <a:gd name="adj" fmla="val 50000"/>
          </a:avLst>
        </a:prstGeom>
        <a:solidFill>
          <a:schemeClr val="bg2">
            <a:lumMod val="50000"/>
          </a:schemeClr>
        </a:solidFill>
        <a:effectLst>
          <a:outerShdw blurRad="63500" sx="102000" sy="102000" algn="ctr" rotWithShape="0">
            <a:prstClr val="black">
              <a:alpha val="40000"/>
            </a:prstClr>
          </a:outerShdw>
        </a:effectLst>
        <a:scene3d>
          <a:camera prst="orthographicFront"/>
          <a:lightRig rig="threePt" dir="t"/>
        </a:scene3d>
        <a:sp3d>
          <a:bevelT/>
        </a:sp3d>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ctr"/>
          <a:r>
            <a:rPr lang="es-MX" sz="900" b="1">
              <a:solidFill>
                <a:schemeClr val="bg1">
                  <a:lumMod val="95000"/>
                </a:schemeClr>
              </a:solidFill>
              <a:latin typeface="Bahnschrift Light" panose="020B0502040204020203" pitchFamily="34" charset="0"/>
            </a:rPr>
            <a:t>Decreciente</a:t>
          </a:r>
        </a:p>
      </xdr:txBody>
    </xdr:sp>
    <xdr:clientData/>
  </xdr:twoCellAnchor>
  <xdr:twoCellAnchor>
    <xdr:from>
      <xdr:col>6</xdr:col>
      <xdr:colOff>295275</xdr:colOff>
      <xdr:row>12</xdr:row>
      <xdr:rowOff>0</xdr:rowOff>
    </xdr:from>
    <xdr:to>
      <xdr:col>7</xdr:col>
      <xdr:colOff>476250</xdr:colOff>
      <xdr:row>13</xdr:row>
      <xdr:rowOff>169500</xdr:rowOff>
    </xdr:to>
    <xdr:sp macro="[0]!Iguales" textlink="">
      <xdr:nvSpPr>
        <xdr:cNvPr id="36" name="Rectángulo: esquinas redondeadas 35">
          <a:extLst>
            <a:ext uri="{FF2B5EF4-FFF2-40B4-BE49-F238E27FC236}">
              <a16:creationId xmlns:a16="http://schemas.microsoft.com/office/drawing/2014/main" id="{13514C85-C6D2-46A2-B9F1-1FC2D083DC6B}"/>
            </a:ext>
          </a:extLst>
        </xdr:cNvPr>
        <xdr:cNvSpPr/>
      </xdr:nvSpPr>
      <xdr:spPr>
        <a:xfrm>
          <a:off x="4867275" y="2762250"/>
          <a:ext cx="942975" cy="360000"/>
        </a:xfrm>
        <a:prstGeom prst="roundRect">
          <a:avLst>
            <a:gd name="adj" fmla="val 50000"/>
          </a:avLst>
        </a:prstGeom>
        <a:solidFill>
          <a:schemeClr val="bg2">
            <a:lumMod val="50000"/>
          </a:schemeClr>
        </a:solidFill>
        <a:effectLst>
          <a:outerShdw blurRad="63500" sx="102000" sy="102000" algn="ctr" rotWithShape="0">
            <a:prstClr val="black">
              <a:alpha val="40000"/>
            </a:prstClr>
          </a:outerShdw>
        </a:effectLst>
        <a:scene3d>
          <a:camera prst="orthographicFront"/>
          <a:lightRig rig="threePt" dir="t"/>
        </a:scene3d>
        <a:sp3d>
          <a:bevelT/>
        </a:sp3d>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ctr"/>
          <a:r>
            <a:rPr lang="es-MX" sz="1100" b="1">
              <a:solidFill>
                <a:schemeClr val="bg1">
                  <a:lumMod val="95000"/>
                </a:schemeClr>
              </a:solidFill>
              <a:latin typeface="Bahnschrift Light" panose="020B0502040204020203" pitchFamily="34" charset="0"/>
            </a:rPr>
            <a:t>Iguales</a:t>
          </a:r>
        </a:p>
      </xdr:txBody>
    </xdr:sp>
    <xdr:clientData/>
  </xdr:twoCellAnchor>
  <xdr:twoCellAnchor>
    <xdr:from>
      <xdr:col>8</xdr:col>
      <xdr:colOff>295275</xdr:colOff>
      <xdr:row>12</xdr:row>
      <xdr:rowOff>0</xdr:rowOff>
    </xdr:from>
    <xdr:to>
      <xdr:col>9</xdr:col>
      <xdr:colOff>476250</xdr:colOff>
      <xdr:row>13</xdr:row>
      <xdr:rowOff>169500</xdr:rowOff>
    </xdr:to>
    <xdr:sp macro="[0]!Crecientes" textlink="">
      <xdr:nvSpPr>
        <xdr:cNvPr id="37" name="Rectángulo: esquinas redondeadas 36">
          <a:extLst>
            <a:ext uri="{FF2B5EF4-FFF2-40B4-BE49-F238E27FC236}">
              <a16:creationId xmlns:a16="http://schemas.microsoft.com/office/drawing/2014/main" id="{56A359E7-8365-4585-B248-A8F641AC92B2}"/>
            </a:ext>
          </a:extLst>
        </xdr:cNvPr>
        <xdr:cNvSpPr/>
      </xdr:nvSpPr>
      <xdr:spPr>
        <a:xfrm>
          <a:off x="6391275" y="2762250"/>
          <a:ext cx="942975" cy="360000"/>
        </a:xfrm>
        <a:prstGeom prst="roundRect">
          <a:avLst>
            <a:gd name="adj" fmla="val 50000"/>
          </a:avLst>
        </a:prstGeom>
        <a:solidFill>
          <a:schemeClr val="bg2">
            <a:lumMod val="50000"/>
          </a:schemeClr>
        </a:solidFill>
        <a:effectLst>
          <a:outerShdw blurRad="63500" sx="102000" sy="102000" algn="ctr" rotWithShape="0">
            <a:prstClr val="black">
              <a:alpha val="40000"/>
            </a:prstClr>
          </a:outerShdw>
        </a:effectLst>
        <a:scene3d>
          <a:camera prst="orthographicFront"/>
          <a:lightRig rig="threePt" dir="t"/>
        </a:scene3d>
        <a:sp3d>
          <a:bevelT/>
        </a:sp3d>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ctr"/>
          <a:r>
            <a:rPr lang="es-MX" sz="1000" b="1">
              <a:solidFill>
                <a:schemeClr val="bg1">
                  <a:lumMod val="95000"/>
                </a:schemeClr>
              </a:solidFill>
              <a:latin typeface="Bahnschrift Light" panose="020B0502040204020203" pitchFamily="34" charset="0"/>
            </a:rPr>
            <a:t>Crecientes</a:t>
          </a:r>
        </a:p>
      </xdr:txBody>
    </xdr:sp>
    <xdr:clientData/>
  </xdr:twoCellAnchor>
  <xdr:twoCellAnchor>
    <xdr:from>
      <xdr:col>10</xdr:col>
      <xdr:colOff>295275</xdr:colOff>
      <xdr:row>12</xdr:row>
      <xdr:rowOff>0</xdr:rowOff>
    </xdr:from>
    <xdr:to>
      <xdr:col>11</xdr:col>
      <xdr:colOff>381000</xdr:colOff>
      <xdr:row>13</xdr:row>
      <xdr:rowOff>169500</xdr:rowOff>
    </xdr:to>
    <xdr:sp macro="[0]!Bullet" textlink="">
      <xdr:nvSpPr>
        <xdr:cNvPr id="38" name="Rectángulo: esquinas redondeadas 37">
          <a:extLst>
            <a:ext uri="{FF2B5EF4-FFF2-40B4-BE49-F238E27FC236}">
              <a16:creationId xmlns:a16="http://schemas.microsoft.com/office/drawing/2014/main" id="{BE4AB522-F8ED-4E98-B290-AEEEC0127C71}"/>
            </a:ext>
          </a:extLst>
        </xdr:cNvPr>
        <xdr:cNvSpPr/>
      </xdr:nvSpPr>
      <xdr:spPr>
        <a:xfrm>
          <a:off x="7915275" y="2762250"/>
          <a:ext cx="942975" cy="360000"/>
        </a:xfrm>
        <a:prstGeom prst="roundRect">
          <a:avLst>
            <a:gd name="adj" fmla="val 50000"/>
          </a:avLst>
        </a:prstGeom>
        <a:solidFill>
          <a:schemeClr val="bg2">
            <a:lumMod val="50000"/>
          </a:schemeClr>
        </a:solidFill>
        <a:effectLst>
          <a:outerShdw blurRad="63500" sx="102000" sy="102000" algn="ctr" rotWithShape="0">
            <a:prstClr val="black">
              <a:alpha val="40000"/>
            </a:prstClr>
          </a:outerShdw>
        </a:effectLst>
        <a:scene3d>
          <a:camera prst="orthographicFront"/>
          <a:lightRig rig="threePt" dir="t"/>
        </a:scene3d>
        <a:sp3d>
          <a:bevelT/>
        </a:sp3d>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ctr"/>
          <a:r>
            <a:rPr lang="es-MX" sz="1100" b="1">
              <a:solidFill>
                <a:schemeClr val="bg1">
                  <a:lumMod val="95000"/>
                </a:schemeClr>
              </a:solidFill>
              <a:latin typeface="Bahnschrift Light" panose="020B0502040204020203" pitchFamily="34" charset="0"/>
            </a:rPr>
            <a:t>Bullet</a:t>
          </a:r>
        </a:p>
      </xdr:txBody>
    </xdr:sp>
    <xdr:clientData/>
  </xdr:twoCellAnchor>
  <xdr:twoCellAnchor>
    <xdr:from>
      <xdr:col>7</xdr:col>
      <xdr:colOff>304800</xdr:colOff>
      <xdr:row>17</xdr:row>
      <xdr:rowOff>85725</xdr:rowOff>
    </xdr:from>
    <xdr:to>
      <xdr:col>8</xdr:col>
      <xdr:colOff>485775</xdr:colOff>
      <xdr:row>19</xdr:row>
      <xdr:rowOff>64725</xdr:rowOff>
    </xdr:to>
    <xdr:sp macro="[0]!Referencias" textlink="">
      <xdr:nvSpPr>
        <xdr:cNvPr id="39" name="Rectángulo: esquinas redondeadas 38">
          <a:extLst>
            <a:ext uri="{FF2B5EF4-FFF2-40B4-BE49-F238E27FC236}">
              <a16:creationId xmlns:a16="http://schemas.microsoft.com/office/drawing/2014/main" id="{FA198A33-8F68-415C-8F90-21E426B81440}"/>
            </a:ext>
          </a:extLst>
        </xdr:cNvPr>
        <xdr:cNvSpPr/>
      </xdr:nvSpPr>
      <xdr:spPr>
        <a:xfrm>
          <a:off x="5638800" y="3800475"/>
          <a:ext cx="942975" cy="360000"/>
        </a:xfrm>
        <a:prstGeom prst="roundRect">
          <a:avLst>
            <a:gd name="adj" fmla="val 50000"/>
          </a:avLst>
        </a:prstGeom>
        <a:solidFill>
          <a:schemeClr val="bg2">
            <a:lumMod val="50000"/>
          </a:schemeClr>
        </a:solidFill>
        <a:effectLst>
          <a:outerShdw blurRad="63500" sx="102000" sy="102000" algn="ctr" rotWithShape="0">
            <a:prstClr val="black">
              <a:alpha val="40000"/>
            </a:prstClr>
          </a:outerShdw>
        </a:effectLst>
        <a:scene3d>
          <a:camera prst="orthographicFront"/>
          <a:lightRig rig="threePt" dir="t"/>
        </a:scene3d>
        <a:sp3d>
          <a:bevelT/>
        </a:sp3d>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ctr"/>
          <a:r>
            <a:rPr lang="es-MX" sz="900" b="1">
              <a:solidFill>
                <a:schemeClr val="bg1">
                  <a:lumMod val="95000"/>
                </a:schemeClr>
              </a:solidFill>
              <a:latin typeface="Bahnschrift Light" panose="020B0502040204020203" pitchFamily="34" charset="0"/>
            </a:rPr>
            <a:t>Referencias</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0</xdr:colOff>
      <xdr:row>0</xdr:row>
      <xdr:rowOff>0</xdr:rowOff>
    </xdr:from>
    <xdr:to>
      <xdr:col>1</xdr:col>
      <xdr:colOff>0</xdr:colOff>
      <xdr:row>0</xdr:row>
      <xdr:rowOff>0</xdr:rowOff>
    </xdr:to>
    <xdr:cxnSp macro="">
      <xdr:nvCxnSpPr>
        <xdr:cNvPr id="3" name="Conector recto 2">
          <a:extLst>
            <a:ext uri="{FF2B5EF4-FFF2-40B4-BE49-F238E27FC236}">
              <a16:creationId xmlns:a16="http://schemas.microsoft.com/office/drawing/2014/main" id="{53377F1A-1D02-4241-9BEE-2765A1682D4D}"/>
            </a:ext>
          </a:extLst>
        </xdr:cNvPr>
        <xdr:cNvCxnSpPr/>
      </xdr:nvCxnSpPr>
      <xdr:spPr>
        <a:xfrm>
          <a:off x="752475" y="66675"/>
          <a:ext cx="0" cy="504825"/>
        </a:xfrm>
        <a:prstGeom prst="line">
          <a:avLst/>
        </a:prstGeom>
        <a:ln w="12700">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0</xdr:row>
      <xdr:rowOff>0</xdr:rowOff>
    </xdr:from>
    <xdr:to>
      <xdr:col>1</xdr:col>
      <xdr:colOff>0</xdr:colOff>
      <xdr:row>0</xdr:row>
      <xdr:rowOff>0</xdr:rowOff>
    </xdr:to>
    <xdr:grpSp>
      <xdr:nvGrpSpPr>
        <xdr:cNvPr id="11" name="Grupo 10">
          <a:hlinkClick xmlns:r="http://schemas.openxmlformats.org/officeDocument/2006/relationships" r:id="rId1"/>
          <a:extLst>
            <a:ext uri="{FF2B5EF4-FFF2-40B4-BE49-F238E27FC236}">
              <a16:creationId xmlns:a16="http://schemas.microsoft.com/office/drawing/2014/main" id="{41E2AC41-F201-496A-91C1-05E9C3829634}"/>
            </a:ext>
          </a:extLst>
        </xdr:cNvPr>
        <xdr:cNvGrpSpPr/>
      </xdr:nvGrpSpPr>
      <xdr:grpSpPr>
        <a:xfrm>
          <a:off x="762000" y="0"/>
          <a:ext cx="0" cy="0"/>
          <a:chOff x="47625" y="57150"/>
          <a:chExt cx="666750" cy="542925"/>
        </a:xfrm>
      </xdr:grpSpPr>
      <xdr:sp macro="" textlink="">
        <xdr:nvSpPr>
          <xdr:cNvPr id="12" name="Rectángulo 11">
            <a:extLst>
              <a:ext uri="{FF2B5EF4-FFF2-40B4-BE49-F238E27FC236}">
                <a16:creationId xmlns:a16="http://schemas.microsoft.com/office/drawing/2014/main" id="{B7853EDD-64D5-4E66-B4E8-7B8D77C1A654}"/>
              </a:ext>
            </a:extLst>
          </xdr:cNvPr>
          <xdr:cNvSpPr/>
        </xdr:nvSpPr>
        <xdr:spPr>
          <a:xfrm>
            <a:off x="47625" y="57150"/>
            <a:ext cx="666750" cy="542925"/>
          </a:xfrm>
          <a:prstGeom prst="rect">
            <a:avLst/>
          </a:prstGeom>
          <a:solidFill>
            <a:srgbClr val="00C689"/>
          </a:solidFill>
          <a:ln>
            <a:solidFill>
              <a:srgbClr val="00C68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13" name="Gráfico 12" descr="Hogar con relleno sólido">
            <a:extLst>
              <a:ext uri="{FF2B5EF4-FFF2-40B4-BE49-F238E27FC236}">
                <a16:creationId xmlns:a16="http://schemas.microsoft.com/office/drawing/2014/main" id="{E38938D4-422B-47C6-8133-BEF6B4F14B6E}"/>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90501" y="123826"/>
            <a:ext cx="381000" cy="381000"/>
          </a:xfrm>
          <a:prstGeom prst="rect">
            <a:avLst/>
          </a:prstGeom>
        </xdr:spPr>
      </xdr:pic>
    </xdr:grpSp>
    <xdr:clientData/>
  </xdr:twoCellAnchor>
  <xdr:twoCellAnchor>
    <xdr:from>
      <xdr:col>1</xdr:col>
      <xdr:colOff>0</xdr:colOff>
      <xdr:row>0</xdr:row>
      <xdr:rowOff>0</xdr:rowOff>
    </xdr:from>
    <xdr:to>
      <xdr:col>1</xdr:col>
      <xdr:colOff>0</xdr:colOff>
      <xdr:row>0</xdr:row>
      <xdr:rowOff>0</xdr:rowOff>
    </xdr:to>
    <xdr:cxnSp macro="">
      <xdr:nvCxnSpPr>
        <xdr:cNvPr id="15" name="Conector recto 14">
          <a:extLst>
            <a:ext uri="{FF2B5EF4-FFF2-40B4-BE49-F238E27FC236}">
              <a16:creationId xmlns:a16="http://schemas.microsoft.com/office/drawing/2014/main" id="{F143DA4B-C91F-4189-BBA8-07DC6936900D}"/>
            </a:ext>
          </a:extLst>
        </xdr:cNvPr>
        <xdr:cNvCxnSpPr/>
      </xdr:nvCxnSpPr>
      <xdr:spPr>
        <a:xfrm>
          <a:off x="752475" y="66675"/>
          <a:ext cx="0" cy="504825"/>
        </a:xfrm>
        <a:prstGeom prst="line">
          <a:avLst/>
        </a:prstGeom>
        <a:ln w="12700">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0</xdr:colOff>
      <xdr:row>0</xdr:row>
      <xdr:rowOff>0</xdr:rowOff>
    </xdr:from>
    <xdr:to>
      <xdr:col>1</xdr:col>
      <xdr:colOff>0</xdr:colOff>
      <xdr:row>0</xdr:row>
      <xdr:rowOff>0</xdr:rowOff>
    </xdr:to>
    <xdr:grpSp>
      <xdr:nvGrpSpPr>
        <xdr:cNvPr id="23" name="Grupo 22">
          <a:hlinkClick xmlns:r="http://schemas.openxmlformats.org/officeDocument/2006/relationships" r:id="rId1"/>
          <a:extLst>
            <a:ext uri="{FF2B5EF4-FFF2-40B4-BE49-F238E27FC236}">
              <a16:creationId xmlns:a16="http://schemas.microsoft.com/office/drawing/2014/main" id="{03738595-47D3-460A-9B10-F17C9441ABDB}"/>
            </a:ext>
          </a:extLst>
        </xdr:cNvPr>
        <xdr:cNvGrpSpPr/>
      </xdr:nvGrpSpPr>
      <xdr:grpSpPr>
        <a:xfrm>
          <a:off x="762000" y="0"/>
          <a:ext cx="0" cy="0"/>
          <a:chOff x="47625" y="57150"/>
          <a:chExt cx="666750" cy="542925"/>
        </a:xfrm>
      </xdr:grpSpPr>
      <xdr:sp macro="" textlink="">
        <xdr:nvSpPr>
          <xdr:cNvPr id="24" name="Rectángulo 23">
            <a:extLst>
              <a:ext uri="{FF2B5EF4-FFF2-40B4-BE49-F238E27FC236}">
                <a16:creationId xmlns:a16="http://schemas.microsoft.com/office/drawing/2014/main" id="{80B26D26-6810-43C0-B4C1-BF4F46F2D017}"/>
              </a:ext>
            </a:extLst>
          </xdr:cNvPr>
          <xdr:cNvSpPr/>
        </xdr:nvSpPr>
        <xdr:spPr>
          <a:xfrm>
            <a:off x="47625" y="57150"/>
            <a:ext cx="666750" cy="542925"/>
          </a:xfrm>
          <a:prstGeom prst="rect">
            <a:avLst/>
          </a:prstGeom>
          <a:solidFill>
            <a:srgbClr val="00C689"/>
          </a:solidFill>
          <a:ln>
            <a:solidFill>
              <a:srgbClr val="00C68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25" name="Gráfico 24" descr="Hogar con relleno sólido">
            <a:extLst>
              <a:ext uri="{FF2B5EF4-FFF2-40B4-BE49-F238E27FC236}">
                <a16:creationId xmlns:a16="http://schemas.microsoft.com/office/drawing/2014/main" id="{F8DC8C34-1663-4095-9133-D3BC2AEE434D}"/>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90501" y="123826"/>
            <a:ext cx="381000" cy="381000"/>
          </a:xfrm>
          <a:prstGeom prst="rect">
            <a:avLst/>
          </a:prstGeom>
        </xdr:spPr>
      </xdr:pic>
    </xdr:grpSp>
    <xdr:clientData/>
  </xdr:twoCellAnchor>
  <xdr:twoCellAnchor>
    <xdr:from>
      <xdr:col>1</xdr:col>
      <xdr:colOff>0</xdr:colOff>
      <xdr:row>10</xdr:row>
      <xdr:rowOff>0</xdr:rowOff>
    </xdr:from>
    <xdr:to>
      <xdr:col>2</xdr:col>
      <xdr:colOff>180975</xdr:colOff>
      <xdr:row>11</xdr:row>
      <xdr:rowOff>169500</xdr:rowOff>
    </xdr:to>
    <xdr:sp macro="[0]!Decreciente" textlink="">
      <xdr:nvSpPr>
        <xdr:cNvPr id="43" name="Rectángulo: esquinas redondeadas 42">
          <a:extLst>
            <a:ext uri="{FF2B5EF4-FFF2-40B4-BE49-F238E27FC236}">
              <a16:creationId xmlns:a16="http://schemas.microsoft.com/office/drawing/2014/main" id="{D24969A9-B49E-425B-93FF-1CFE39CD88C5}"/>
            </a:ext>
          </a:extLst>
        </xdr:cNvPr>
        <xdr:cNvSpPr/>
      </xdr:nvSpPr>
      <xdr:spPr>
        <a:xfrm>
          <a:off x="762000" y="1962150"/>
          <a:ext cx="942975" cy="360000"/>
        </a:xfrm>
        <a:prstGeom prst="roundRect">
          <a:avLst>
            <a:gd name="adj" fmla="val 50000"/>
          </a:avLst>
        </a:prstGeom>
        <a:solidFill>
          <a:schemeClr val="bg2">
            <a:lumMod val="50000"/>
          </a:schemeClr>
        </a:solidFill>
        <a:effectLst>
          <a:outerShdw blurRad="63500" sx="102000" sy="102000" algn="ctr" rotWithShape="0">
            <a:prstClr val="black">
              <a:alpha val="40000"/>
            </a:prstClr>
          </a:outerShdw>
        </a:effectLst>
        <a:scene3d>
          <a:camera prst="orthographicFront"/>
          <a:lightRig rig="threePt" dir="t"/>
        </a:scene3d>
        <a:sp3d>
          <a:bevelT/>
        </a:sp3d>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ctr"/>
          <a:r>
            <a:rPr lang="es-MX" sz="900" b="1">
              <a:solidFill>
                <a:schemeClr val="bg1">
                  <a:lumMod val="95000"/>
                </a:schemeClr>
              </a:solidFill>
              <a:latin typeface="Bahnschrift Light" panose="020B0502040204020203" pitchFamily="34" charset="0"/>
            </a:rPr>
            <a:t>Decreciente</a:t>
          </a:r>
        </a:p>
      </xdr:txBody>
    </xdr:sp>
    <xdr:clientData/>
  </xdr:twoCellAnchor>
  <xdr:twoCellAnchor>
    <xdr:from>
      <xdr:col>1</xdr:col>
      <xdr:colOff>0</xdr:colOff>
      <xdr:row>12</xdr:row>
      <xdr:rowOff>0</xdr:rowOff>
    </xdr:from>
    <xdr:to>
      <xdr:col>2</xdr:col>
      <xdr:colOff>180975</xdr:colOff>
      <xdr:row>13</xdr:row>
      <xdr:rowOff>169500</xdr:rowOff>
    </xdr:to>
    <xdr:sp macro="[0]!Iguales" textlink="">
      <xdr:nvSpPr>
        <xdr:cNvPr id="44" name="Rectángulo: esquinas redondeadas 43">
          <a:extLst>
            <a:ext uri="{FF2B5EF4-FFF2-40B4-BE49-F238E27FC236}">
              <a16:creationId xmlns:a16="http://schemas.microsoft.com/office/drawing/2014/main" id="{18C4A243-3F27-456C-AC88-BCF91A8C7FF6}"/>
            </a:ext>
          </a:extLst>
        </xdr:cNvPr>
        <xdr:cNvSpPr/>
      </xdr:nvSpPr>
      <xdr:spPr>
        <a:xfrm>
          <a:off x="762000" y="2343150"/>
          <a:ext cx="942975" cy="360000"/>
        </a:xfrm>
        <a:prstGeom prst="roundRect">
          <a:avLst>
            <a:gd name="adj" fmla="val 50000"/>
          </a:avLst>
        </a:prstGeom>
        <a:solidFill>
          <a:schemeClr val="bg2">
            <a:lumMod val="50000"/>
          </a:schemeClr>
        </a:solidFill>
        <a:effectLst>
          <a:outerShdw blurRad="63500" sx="102000" sy="102000" algn="ctr" rotWithShape="0">
            <a:prstClr val="black">
              <a:alpha val="40000"/>
            </a:prstClr>
          </a:outerShdw>
        </a:effectLst>
        <a:scene3d>
          <a:camera prst="orthographicFront"/>
          <a:lightRig rig="threePt" dir="t"/>
        </a:scene3d>
        <a:sp3d>
          <a:bevelT/>
        </a:sp3d>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ctr"/>
          <a:r>
            <a:rPr lang="es-MX" sz="1100" b="1">
              <a:solidFill>
                <a:schemeClr val="bg1">
                  <a:lumMod val="95000"/>
                </a:schemeClr>
              </a:solidFill>
              <a:latin typeface="Bahnschrift Light" panose="020B0502040204020203" pitchFamily="34" charset="0"/>
            </a:rPr>
            <a:t>Iguales</a:t>
          </a:r>
        </a:p>
      </xdr:txBody>
    </xdr:sp>
    <xdr:clientData/>
  </xdr:twoCellAnchor>
  <xdr:twoCellAnchor>
    <xdr:from>
      <xdr:col>1</xdr:col>
      <xdr:colOff>0</xdr:colOff>
      <xdr:row>14</xdr:row>
      <xdr:rowOff>0</xdr:rowOff>
    </xdr:from>
    <xdr:to>
      <xdr:col>2</xdr:col>
      <xdr:colOff>180975</xdr:colOff>
      <xdr:row>15</xdr:row>
      <xdr:rowOff>169500</xdr:rowOff>
    </xdr:to>
    <xdr:sp macro="[0]!Crecientes" textlink="">
      <xdr:nvSpPr>
        <xdr:cNvPr id="45" name="Rectángulo: esquinas redondeadas 44">
          <a:extLst>
            <a:ext uri="{FF2B5EF4-FFF2-40B4-BE49-F238E27FC236}">
              <a16:creationId xmlns:a16="http://schemas.microsoft.com/office/drawing/2014/main" id="{DED5E11E-423D-4228-9091-AA7DE528533D}"/>
            </a:ext>
          </a:extLst>
        </xdr:cNvPr>
        <xdr:cNvSpPr/>
      </xdr:nvSpPr>
      <xdr:spPr>
        <a:xfrm>
          <a:off x="762000" y="2724150"/>
          <a:ext cx="942975" cy="360000"/>
        </a:xfrm>
        <a:prstGeom prst="roundRect">
          <a:avLst>
            <a:gd name="adj" fmla="val 50000"/>
          </a:avLst>
        </a:prstGeom>
        <a:solidFill>
          <a:schemeClr val="bg2">
            <a:lumMod val="50000"/>
          </a:schemeClr>
        </a:solidFill>
        <a:effectLst>
          <a:outerShdw blurRad="63500" sx="102000" sy="102000" algn="ctr" rotWithShape="0">
            <a:prstClr val="black">
              <a:alpha val="40000"/>
            </a:prstClr>
          </a:outerShdw>
        </a:effectLst>
        <a:scene3d>
          <a:camera prst="orthographicFront"/>
          <a:lightRig rig="threePt" dir="t"/>
        </a:scene3d>
        <a:sp3d>
          <a:bevelT/>
        </a:sp3d>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ctr"/>
          <a:r>
            <a:rPr lang="es-MX" sz="1000" b="1">
              <a:solidFill>
                <a:schemeClr val="bg1">
                  <a:lumMod val="95000"/>
                </a:schemeClr>
              </a:solidFill>
              <a:latin typeface="Bahnschrift Light" panose="020B0502040204020203" pitchFamily="34" charset="0"/>
            </a:rPr>
            <a:t>Crecientes</a:t>
          </a:r>
        </a:p>
      </xdr:txBody>
    </xdr:sp>
    <xdr:clientData/>
  </xdr:twoCellAnchor>
  <xdr:twoCellAnchor>
    <xdr:from>
      <xdr:col>1</xdr:col>
      <xdr:colOff>0</xdr:colOff>
      <xdr:row>16</xdr:row>
      <xdr:rowOff>0</xdr:rowOff>
    </xdr:from>
    <xdr:to>
      <xdr:col>2</xdr:col>
      <xdr:colOff>180975</xdr:colOff>
      <xdr:row>17</xdr:row>
      <xdr:rowOff>169500</xdr:rowOff>
    </xdr:to>
    <xdr:sp macro="[0]!Bullet" textlink="">
      <xdr:nvSpPr>
        <xdr:cNvPr id="46" name="Rectángulo: esquinas redondeadas 45">
          <a:extLst>
            <a:ext uri="{FF2B5EF4-FFF2-40B4-BE49-F238E27FC236}">
              <a16:creationId xmlns:a16="http://schemas.microsoft.com/office/drawing/2014/main" id="{1DC55163-B953-471E-98F9-B7A4C04FBBDA}"/>
            </a:ext>
          </a:extLst>
        </xdr:cNvPr>
        <xdr:cNvSpPr/>
      </xdr:nvSpPr>
      <xdr:spPr>
        <a:xfrm>
          <a:off x="762000" y="3105150"/>
          <a:ext cx="942975" cy="360000"/>
        </a:xfrm>
        <a:prstGeom prst="roundRect">
          <a:avLst>
            <a:gd name="adj" fmla="val 50000"/>
          </a:avLst>
        </a:prstGeom>
        <a:solidFill>
          <a:schemeClr val="bg2">
            <a:lumMod val="50000"/>
          </a:schemeClr>
        </a:solidFill>
        <a:effectLst>
          <a:outerShdw blurRad="63500" sx="102000" sy="102000" algn="ctr" rotWithShape="0">
            <a:prstClr val="black">
              <a:alpha val="40000"/>
            </a:prstClr>
          </a:outerShdw>
        </a:effectLst>
        <a:scene3d>
          <a:camera prst="orthographicFront"/>
          <a:lightRig rig="threePt" dir="t"/>
        </a:scene3d>
        <a:sp3d>
          <a:bevelT/>
        </a:sp3d>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ctr"/>
          <a:r>
            <a:rPr lang="es-MX" sz="1100" b="1">
              <a:solidFill>
                <a:schemeClr val="bg1">
                  <a:lumMod val="95000"/>
                </a:schemeClr>
              </a:solidFill>
              <a:latin typeface="Bahnschrift Light" panose="020B0502040204020203" pitchFamily="34" charset="0"/>
            </a:rPr>
            <a:t>Bullet</a:t>
          </a:r>
        </a:p>
      </xdr:txBody>
    </xdr:sp>
    <xdr:clientData/>
  </xdr:twoCellAnchor>
  <xdr:twoCellAnchor>
    <xdr:from>
      <xdr:col>1</xdr:col>
      <xdr:colOff>0</xdr:colOff>
      <xdr:row>19</xdr:row>
      <xdr:rowOff>0</xdr:rowOff>
    </xdr:from>
    <xdr:to>
      <xdr:col>2</xdr:col>
      <xdr:colOff>180975</xdr:colOff>
      <xdr:row>20</xdr:row>
      <xdr:rowOff>169500</xdr:rowOff>
    </xdr:to>
    <xdr:sp macro="[0]!Simulador" textlink="">
      <xdr:nvSpPr>
        <xdr:cNvPr id="47" name="Rectángulo: esquinas redondeadas 46">
          <a:extLst>
            <a:ext uri="{FF2B5EF4-FFF2-40B4-BE49-F238E27FC236}">
              <a16:creationId xmlns:a16="http://schemas.microsoft.com/office/drawing/2014/main" id="{018DE1A7-1009-4F46-B602-9F3015C3A178}"/>
            </a:ext>
          </a:extLst>
        </xdr:cNvPr>
        <xdr:cNvSpPr/>
      </xdr:nvSpPr>
      <xdr:spPr>
        <a:xfrm>
          <a:off x="762000" y="3676650"/>
          <a:ext cx="942975" cy="360000"/>
        </a:xfrm>
        <a:prstGeom prst="roundRect">
          <a:avLst>
            <a:gd name="adj" fmla="val 50000"/>
          </a:avLst>
        </a:prstGeom>
        <a:solidFill>
          <a:schemeClr val="bg2">
            <a:lumMod val="50000"/>
          </a:schemeClr>
        </a:solidFill>
        <a:effectLst>
          <a:outerShdw blurRad="63500" sx="102000" sy="102000" algn="ctr" rotWithShape="0">
            <a:prstClr val="black">
              <a:alpha val="40000"/>
            </a:prstClr>
          </a:outerShdw>
        </a:effectLst>
        <a:scene3d>
          <a:camera prst="orthographicFront"/>
          <a:lightRig rig="threePt" dir="t"/>
        </a:scene3d>
        <a:sp3d>
          <a:bevelT/>
        </a:sp3d>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ctr"/>
          <a:r>
            <a:rPr lang="es-MX" sz="1100" b="1">
              <a:solidFill>
                <a:schemeClr val="bg1">
                  <a:lumMod val="95000"/>
                </a:schemeClr>
              </a:solidFill>
              <a:latin typeface="Bahnschrift Light" panose="020B0502040204020203" pitchFamily="34" charset="0"/>
            </a:rPr>
            <a:t>Simulador</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cxnSp macro="">
      <xdr:nvCxnSpPr>
        <xdr:cNvPr id="4" name="Conector recto 3">
          <a:extLst>
            <a:ext uri="{FF2B5EF4-FFF2-40B4-BE49-F238E27FC236}">
              <a16:creationId xmlns:a16="http://schemas.microsoft.com/office/drawing/2014/main" id="{FF222F9D-C11C-4453-A078-71174A1DA6F0}"/>
            </a:ext>
          </a:extLst>
        </xdr:cNvPr>
        <xdr:cNvCxnSpPr/>
      </xdr:nvCxnSpPr>
      <xdr:spPr>
        <a:xfrm>
          <a:off x="752475" y="66675"/>
          <a:ext cx="0" cy="504825"/>
        </a:xfrm>
        <a:prstGeom prst="line">
          <a:avLst/>
        </a:prstGeom>
        <a:ln w="12700">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0</xdr:colOff>
      <xdr:row>0</xdr:row>
      <xdr:rowOff>0</xdr:rowOff>
    </xdr:to>
    <xdr:grpSp>
      <xdr:nvGrpSpPr>
        <xdr:cNvPr id="12" name="Grupo 11">
          <a:hlinkClick xmlns:r="http://schemas.openxmlformats.org/officeDocument/2006/relationships" r:id="rId1"/>
          <a:extLst>
            <a:ext uri="{FF2B5EF4-FFF2-40B4-BE49-F238E27FC236}">
              <a16:creationId xmlns:a16="http://schemas.microsoft.com/office/drawing/2014/main" id="{FEC398B6-0696-4C0C-9CB4-1492D1FDE52C}"/>
            </a:ext>
          </a:extLst>
        </xdr:cNvPr>
        <xdr:cNvGrpSpPr/>
      </xdr:nvGrpSpPr>
      <xdr:grpSpPr>
        <a:xfrm>
          <a:off x="0" y="0"/>
          <a:ext cx="0" cy="0"/>
          <a:chOff x="47625" y="57150"/>
          <a:chExt cx="666750" cy="542925"/>
        </a:xfrm>
      </xdr:grpSpPr>
      <xdr:sp macro="" textlink="">
        <xdr:nvSpPr>
          <xdr:cNvPr id="13" name="Rectángulo 12">
            <a:extLst>
              <a:ext uri="{FF2B5EF4-FFF2-40B4-BE49-F238E27FC236}">
                <a16:creationId xmlns:a16="http://schemas.microsoft.com/office/drawing/2014/main" id="{D6D10757-4177-4ECE-9D10-E5AF315BFCD6}"/>
              </a:ext>
            </a:extLst>
          </xdr:cNvPr>
          <xdr:cNvSpPr/>
        </xdr:nvSpPr>
        <xdr:spPr>
          <a:xfrm>
            <a:off x="47625" y="57150"/>
            <a:ext cx="666750" cy="542925"/>
          </a:xfrm>
          <a:prstGeom prst="rect">
            <a:avLst/>
          </a:prstGeom>
          <a:solidFill>
            <a:srgbClr val="00C689"/>
          </a:solidFill>
          <a:ln>
            <a:solidFill>
              <a:srgbClr val="00C68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14" name="Gráfico 13" descr="Hogar con relleno sólido">
            <a:extLst>
              <a:ext uri="{FF2B5EF4-FFF2-40B4-BE49-F238E27FC236}">
                <a16:creationId xmlns:a16="http://schemas.microsoft.com/office/drawing/2014/main" id="{33348D4E-DD42-430D-98C9-2B949D9F2423}"/>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90501" y="123826"/>
            <a:ext cx="381000" cy="381000"/>
          </a:xfrm>
          <a:prstGeom prst="rect">
            <a:avLst/>
          </a:prstGeom>
        </xdr:spPr>
      </xdr:pic>
    </xdr:grpSp>
    <xdr:clientData/>
  </xdr:twoCellAnchor>
  <xdr:twoCellAnchor>
    <xdr:from>
      <xdr:col>0</xdr:col>
      <xdr:colOff>0</xdr:colOff>
      <xdr:row>0</xdr:row>
      <xdr:rowOff>0</xdr:rowOff>
    </xdr:from>
    <xdr:to>
      <xdr:col>0</xdr:col>
      <xdr:colOff>0</xdr:colOff>
      <xdr:row>0</xdr:row>
      <xdr:rowOff>0</xdr:rowOff>
    </xdr:to>
    <xdr:cxnSp macro="">
      <xdr:nvCxnSpPr>
        <xdr:cNvPr id="16" name="Conector recto 15">
          <a:extLst>
            <a:ext uri="{FF2B5EF4-FFF2-40B4-BE49-F238E27FC236}">
              <a16:creationId xmlns:a16="http://schemas.microsoft.com/office/drawing/2014/main" id="{C7097C51-C43A-4ADA-975D-D6FEA9622061}"/>
            </a:ext>
          </a:extLst>
        </xdr:cNvPr>
        <xdr:cNvCxnSpPr/>
      </xdr:nvCxnSpPr>
      <xdr:spPr>
        <a:xfrm>
          <a:off x="752475" y="66675"/>
          <a:ext cx="0" cy="504825"/>
        </a:xfrm>
        <a:prstGeom prst="line">
          <a:avLst/>
        </a:prstGeom>
        <a:ln w="12700">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0</xdr:colOff>
      <xdr:row>0</xdr:row>
      <xdr:rowOff>0</xdr:rowOff>
    </xdr:to>
    <xdr:grpSp>
      <xdr:nvGrpSpPr>
        <xdr:cNvPr id="24" name="Grupo 23">
          <a:hlinkClick xmlns:r="http://schemas.openxmlformats.org/officeDocument/2006/relationships" r:id="rId1"/>
          <a:extLst>
            <a:ext uri="{FF2B5EF4-FFF2-40B4-BE49-F238E27FC236}">
              <a16:creationId xmlns:a16="http://schemas.microsoft.com/office/drawing/2014/main" id="{33AC9A06-A4F9-45FD-B1CB-7E7D713CA519}"/>
            </a:ext>
          </a:extLst>
        </xdr:cNvPr>
        <xdr:cNvGrpSpPr/>
      </xdr:nvGrpSpPr>
      <xdr:grpSpPr>
        <a:xfrm>
          <a:off x="0" y="0"/>
          <a:ext cx="0" cy="0"/>
          <a:chOff x="47625" y="57150"/>
          <a:chExt cx="666750" cy="542925"/>
        </a:xfrm>
      </xdr:grpSpPr>
      <xdr:sp macro="" textlink="">
        <xdr:nvSpPr>
          <xdr:cNvPr id="25" name="Rectángulo 24">
            <a:extLst>
              <a:ext uri="{FF2B5EF4-FFF2-40B4-BE49-F238E27FC236}">
                <a16:creationId xmlns:a16="http://schemas.microsoft.com/office/drawing/2014/main" id="{9E8301AF-906D-4D9B-8CD6-4D6CC18FF7D3}"/>
              </a:ext>
            </a:extLst>
          </xdr:cNvPr>
          <xdr:cNvSpPr/>
        </xdr:nvSpPr>
        <xdr:spPr>
          <a:xfrm>
            <a:off x="47625" y="57150"/>
            <a:ext cx="666750" cy="542925"/>
          </a:xfrm>
          <a:prstGeom prst="rect">
            <a:avLst/>
          </a:prstGeom>
          <a:solidFill>
            <a:srgbClr val="00C689"/>
          </a:solidFill>
          <a:ln>
            <a:solidFill>
              <a:srgbClr val="00C68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26" name="Gráfico 25" descr="Hogar con relleno sólido">
            <a:extLst>
              <a:ext uri="{FF2B5EF4-FFF2-40B4-BE49-F238E27FC236}">
                <a16:creationId xmlns:a16="http://schemas.microsoft.com/office/drawing/2014/main" id="{CB40C164-C052-4696-9BF5-6B5951AEBD22}"/>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90501" y="123826"/>
            <a:ext cx="381000" cy="381000"/>
          </a:xfrm>
          <a:prstGeom prst="rect">
            <a:avLst/>
          </a:prstGeom>
        </xdr:spPr>
      </xdr:pic>
    </xdr:grpSp>
    <xdr:clientData/>
  </xdr:twoCellAnchor>
  <xdr:twoCellAnchor>
    <xdr:from>
      <xdr:col>1</xdr:col>
      <xdr:colOff>0</xdr:colOff>
      <xdr:row>10</xdr:row>
      <xdr:rowOff>0</xdr:rowOff>
    </xdr:from>
    <xdr:to>
      <xdr:col>2</xdr:col>
      <xdr:colOff>180975</xdr:colOff>
      <xdr:row>11</xdr:row>
      <xdr:rowOff>169500</xdr:rowOff>
    </xdr:to>
    <xdr:sp macro="[0]!Decreciente" textlink="">
      <xdr:nvSpPr>
        <xdr:cNvPr id="36" name="Rectángulo: esquinas redondeadas 35">
          <a:extLst>
            <a:ext uri="{FF2B5EF4-FFF2-40B4-BE49-F238E27FC236}">
              <a16:creationId xmlns:a16="http://schemas.microsoft.com/office/drawing/2014/main" id="{F0826096-2919-45B9-8F7B-4AF02F8BC11B}"/>
            </a:ext>
          </a:extLst>
        </xdr:cNvPr>
        <xdr:cNvSpPr/>
      </xdr:nvSpPr>
      <xdr:spPr>
        <a:xfrm>
          <a:off x="762000" y="1962150"/>
          <a:ext cx="942975" cy="360000"/>
        </a:xfrm>
        <a:prstGeom prst="roundRect">
          <a:avLst>
            <a:gd name="adj" fmla="val 50000"/>
          </a:avLst>
        </a:prstGeom>
        <a:solidFill>
          <a:schemeClr val="bg2">
            <a:lumMod val="50000"/>
          </a:schemeClr>
        </a:solidFill>
        <a:effectLst>
          <a:outerShdw blurRad="63500" sx="102000" sy="102000" algn="ctr" rotWithShape="0">
            <a:prstClr val="black">
              <a:alpha val="40000"/>
            </a:prstClr>
          </a:outerShdw>
        </a:effectLst>
        <a:scene3d>
          <a:camera prst="orthographicFront"/>
          <a:lightRig rig="threePt" dir="t"/>
        </a:scene3d>
        <a:sp3d>
          <a:bevelT/>
        </a:sp3d>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ctr"/>
          <a:r>
            <a:rPr lang="es-MX" sz="900" b="1">
              <a:solidFill>
                <a:schemeClr val="bg1">
                  <a:lumMod val="95000"/>
                </a:schemeClr>
              </a:solidFill>
              <a:latin typeface="Bahnschrift Light" panose="020B0502040204020203" pitchFamily="34" charset="0"/>
            </a:rPr>
            <a:t>Decreciente</a:t>
          </a:r>
        </a:p>
      </xdr:txBody>
    </xdr:sp>
    <xdr:clientData/>
  </xdr:twoCellAnchor>
  <xdr:twoCellAnchor>
    <xdr:from>
      <xdr:col>1</xdr:col>
      <xdr:colOff>0</xdr:colOff>
      <xdr:row>12</xdr:row>
      <xdr:rowOff>0</xdr:rowOff>
    </xdr:from>
    <xdr:to>
      <xdr:col>2</xdr:col>
      <xdr:colOff>180975</xdr:colOff>
      <xdr:row>13</xdr:row>
      <xdr:rowOff>169500</xdr:rowOff>
    </xdr:to>
    <xdr:sp macro="[0]!Iguales" textlink="">
      <xdr:nvSpPr>
        <xdr:cNvPr id="37" name="Rectángulo: esquinas redondeadas 36">
          <a:extLst>
            <a:ext uri="{FF2B5EF4-FFF2-40B4-BE49-F238E27FC236}">
              <a16:creationId xmlns:a16="http://schemas.microsoft.com/office/drawing/2014/main" id="{988AF196-EB83-41C8-968E-D784AF71B20D}"/>
            </a:ext>
          </a:extLst>
        </xdr:cNvPr>
        <xdr:cNvSpPr/>
      </xdr:nvSpPr>
      <xdr:spPr>
        <a:xfrm>
          <a:off x="762000" y="2343150"/>
          <a:ext cx="942975" cy="360000"/>
        </a:xfrm>
        <a:prstGeom prst="roundRect">
          <a:avLst>
            <a:gd name="adj" fmla="val 50000"/>
          </a:avLst>
        </a:prstGeom>
        <a:solidFill>
          <a:schemeClr val="bg2">
            <a:lumMod val="50000"/>
          </a:schemeClr>
        </a:solidFill>
        <a:effectLst>
          <a:outerShdw blurRad="63500" sx="102000" sy="102000" algn="ctr" rotWithShape="0">
            <a:prstClr val="black">
              <a:alpha val="40000"/>
            </a:prstClr>
          </a:outerShdw>
        </a:effectLst>
        <a:scene3d>
          <a:camera prst="orthographicFront"/>
          <a:lightRig rig="threePt" dir="t"/>
        </a:scene3d>
        <a:sp3d>
          <a:bevelT/>
        </a:sp3d>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ctr"/>
          <a:r>
            <a:rPr lang="es-MX" sz="1100" b="1">
              <a:solidFill>
                <a:schemeClr val="bg1">
                  <a:lumMod val="95000"/>
                </a:schemeClr>
              </a:solidFill>
              <a:latin typeface="Bahnschrift Light" panose="020B0502040204020203" pitchFamily="34" charset="0"/>
            </a:rPr>
            <a:t>Iguales</a:t>
          </a:r>
        </a:p>
      </xdr:txBody>
    </xdr:sp>
    <xdr:clientData/>
  </xdr:twoCellAnchor>
  <xdr:twoCellAnchor>
    <xdr:from>
      <xdr:col>1</xdr:col>
      <xdr:colOff>0</xdr:colOff>
      <xdr:row>14</xdr:row>
      <xdr:rowOff>0</xdr:rowOff>
    </xdr:from>
    <xdr:to>
      <xdr:col>2</xdr:col>
      <xdr:colOff>180975</xdr:colOff>
      <xdr:row>15</xdr:row>
      <xdr:rowOff>169500</xdr:rowOff>
    </xdr:to>
    <xdr:sp macro="[0]!Crecientes" textlink="">
      <xdr:nvSpPr>
        <xdr:cNvPr id="38" name="Rectángulo: esquinas redondeadas 37">
          <a:extLst>
            <a:ext uri="{FF2B5EF4-FFF2-40B4-BE49-F238E27FC236}">
              <a16:creationId xmlns:a16="http://schemas.microsoft.com/office/drawing/2014/main" id="{483056B2-36A0-4C97-911F-9FEF7EB011D3}"/>
            </a:ext>
          </a:extLst>
        </xdr:cNvPr>
        <xdr:cNvSpPr/>
      </xdr:nvSpPr>
      <xdr:spPr>
        <a:xfrm>
          <a:off x="762000" y="2724150"/>
          <a:ext cx="942975" cy="360000"/>
        </a:xfrm>
        <a:prstGeom prst="roundRect">
          <a:avLst>
            <a:gd name="adj" fmla="val 50000"/>
          </a:avLst>
        </a:prstGeom>
        <a:solidFill>
          <a:schemeClr val="bg2">
            <a:lumMod val="50000"/>
          </a:schemeClr>
        </a:solidFill>
        <a:effectLst>
          <a:outerShdw blurRad="63500" sx="102000" sy="102000" algn="ctr" rotWithShape="0">
            <a:prstClr val="black">
              <a:alpha val="40000"/>
            </a:prstClr>
          </a:outerShdw>
        </a:effectLst>
        <a:scene3d>
          <a:camera prst="orthographicFront"/>
          <a:lightRig rig="threePt" dir="t"/>
        </a:scene3d>
        <a:sp3d>
          <a:bevelT/>
        </a:sp3d>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ctr"/>
          <a:r>
            <a:rPr lang="es-MX" sz="1000" b="1">
              <a:solidFill>
                <a:schemeClr val="bg1">
                  <a:lumMod val="95000"/>
                </a:schemeClr>
              </a:solidFill>
              <a:latin typeface="Bahnschrift Light" panose="020B0502040204020203" pitchFamily="34" charset="0"/>
            </a:rPr>
            <a:t>Crecientes</a:t>
          </a:r>
        </a:p>
      </xdr:txBody>
    </xdr:sp>
    <xdr:clientData/>
  </xdr:twoCellAnchor>
  <xdr:twoCellAnchor>
    <xdr:from>
      <xdr:col>1</xdr:col>
      <xdr:colOff>0</xdr:colOff>
      <xdr:row>16</xdr:row>
      <xdr:rowOff>0</xdr:rowOff>
    </xdr:from>
    <xdr:to>
      <xdr:col>2</xdr:col>
      <xdr:colOff>180975</xdr:colOff>
      <xdr:row>17</xdr:row>
      <xdr:rowOff>169500</xdr:rowOff>
    </xdr:to>
    <xdr:sp macro="[0]!Bullet" textlink="">
      <xdr:nvSpPr>
        <xdr:cNvPr id="39" name="Rectángulo: esquinas redondeadas 38">
          <a:extLst>
            <a:ext uri="{FF2B5EF4-FFF2-40B4-BE49-F238E27FC236}">
              <a16:creationId xmlns:a16="http://schemas.microsoft.com/office/drawing/2014/main" id="{D77D36B7-0683-440E-BC04-A9F1610E8A22}"/>
            </a:ext>
          </a:extLst>
        </xdr:cNvPr>
        <xdr:cNvSpPr/>
      </xdr:nvSpPr>
      <xdr:spPr>
        <a:xfrm>
          <a:off x="762000" y="3105150"/>
          <a:ext cx="942975" cy="360000"/>
        </a:xfrm>
        <a:prstGeom prst="roundRect">
          <a:avLst>
            <a:gd name="adj" fmla="val 50000"/>
          </a:avLst>
        </a:prstGeom>
        <a:solidFill>
          <a:schemeClr val="bg2">
            <a:lumMod val="50000"/>
          </a:schemeClr>
        </a:solidFill>
        <a:effectLst>
          <a:outerShdw blurRad="63500" sx="102000" sy="102000" algn="ctr" rotWithShape="0">
            <a:prstClr val="black">
              <a:alpha val="40000"/>
            </a:prstClr>
          </a:outerShdw>
        </a:effectLst>
        <a:scene3d>
          <a:camera prst="orthographicFront"/>
          <a:lightRig rig="threePt" dir="t"/>
        </a:scene3d>
        <a:sp3d>
          <a:bevelT/>
        </a:sp3d>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ctr"/>
          <a:r>
            <a:rPr lang="es-MX" sz="1100" b="1">
              <a:solidFill>
                <a:schemeClr val="bg1">
                  <a:lumMod val="95000"/>
                </a:schemeClr>
              </a:solidFill>
              <a:latin typeface="Bahnschrift Light" panose="020B0502040204020203" pitchFamily="34" charset="0"/>
            </a:rPr>
            <a:t>Bullet</a:t>
          </a:r>
        </a:p>
      </xdr:txBody>
    </xdr:sp>
    <xdr:clientData/>
  </xdr:twoCellAnchor>
  <xdr:twoCellAnchor>
    <xdr:from>
      <xdr:col>1</xdr:col>
      <xdr:colOff>0</xdr:colOff>
      <xdr:row>19</xdr:row>
      <xdr:rowOff>0</xdr:rowOff>
    </xdr:from>
    <xdr:to>
      <xdr:col>2</xdr:col>
      <xdr:colOff>180975</xdr:colOff>
      <xdr:row>20</xdr:row>
      <xdr:rowOff>169500</xdr:rowOff>
    </xdr:to>
    <xdr:sp macro="[0]!Simulador" textlink="">
      <xdr:nvSpPr>
        <xdr:cNvPr id="40" name="Rectángulo: esquinas redondeadas 39">
          <a:extLst>
            <a:ext uri="{FF2B5EF4-FFF2-40B4-BE49-F238E27FC236}">
              <a16:creationId xmlns:a16="http://schemas.microsoft.com/office/drawing/2014/main" id="{7533B6EF-E5AF-44CF-8FE4-9DCD55DDC364}"/>
            </a:ext>
          </a:extLst>
        </xdr:cNvPr>
        <xdr:cNvSpPr/>
      </xdr:nvSpPr>
      <xdr:spPr>
        <a:xfrm>
          <a:off x="762000" y="3676650"/>
          <a:ext cx="942975" cy="360000"/>
        </a:xfrm>
        <a:prstGeom prst="roundRect">
          <a:avLst>
            <a:gd name="adj" fmla="val 50000"/>
          </a:avLst>
        </a:prstGeom>
        <a:solidFill>
          <a:schemeClr val="bg2">
            <a:lumMod val="50000"/>
          </a:schemeClr>
        </a:solidFill>
        <a:effectLst>
          <a:outerShdw blurRad="63500" sx="102000" sy="102000" algn="ctr" rotWithShape="0">
            <a:prstClr val="black">
              <a:alpha val="40000"/>
            </a:prstClr>
          </a:outerShdw>
        </a:effectLst>
        <a:scene3d>
          <a:camera prst="orthographicFront"/>
          <a:lightRig rig="threePt" dir="t"/>
        </a:scene3d>
        <a:sp3d>
          <a:bevelT/>
        </a:sp3d>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ctr"/>
          <a:r>
            <a:rPr lang="es-MX" sz="1100" b="1">
              <a:solidFill>
                <a:schemeClr val="bg1">
                  <a:lumMod val="95000"/>
                </a:schemeClr>
              </a:solidFill>
              <a:latin typeface="Bahnschrift Light" panose="020B0502040204020203" pitchFamily="34" charset="0"/>
            </a:rPr>
            <a:t>Simulador</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0</xdr:col>
      <xdr:colOff>0</xdr:colOff>
      <xdr:row>0</xdr:row>
      <xdr:rowOff>0</xdr:rowOff>
    </xdr:from>
    <xdr:to>
      <xdr:col>0</xdr:col>
      <xdr:colOff>0</xdr:colOff>
      <xdr:row>0</xdr:row>
      <xdr:rowOff>0</xdr:rowOff>
    </xdr:to>
    <xdr:cxnSp macro="">
      <xdr:nvCxnSpPr>
        <xdr:cNvPr id="3" name="Conector recto 2">
          <a:extLst>
            <a:ext uri="{FF2B5EF4-FFF2-40B4-BE49-F238E27FC236}">
              <a16:creationId xmlns:a16="http://schemas.microsoft.com/office/drawing/2014/main" id="{EE8D979F-E499-42EE-B903-FD7E716205C5}"/>
            </a:ext>
          </a:extLst>
        </xdr:cNvPr>
        <xdr:cNvCxnSpPr/>
      </xdr:nvCxnSpPr>
      <xdr:spPr>
        <a:xfrm>
          <a:off x="752475" y="66675"/>
          <a:ext cx="0" cy="504825"/>
        </a:xfrm>
        <a:prstGeom prst="line">
          <a:avLst/>
        </a:prstGeom>
        <a:ln w="12700">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0</xdr:colOff>
      <xdr:row>0</xdr:row>
      <xdr:rowOff>0</xdr:rowOff>
    </xdr:to>
    <xdr:grpSp>
      <xdr:nvGrpSpPr>
        <xdr:cNvPr id="11" name="Grupo 10">
          <a:hlinkClick xmlns:r="http://schemas.openxmlformats.org/officeDocument/2006/relationships" r:id="rId1"/>
          <a:extLst>
            <a:ext uri="{FF2B5EF4-FFF2-40B4-BE49-F238E27FC236}">
              <a16:creationId xmlns:a16="http://schemas.microsoft.com/office/drawing/2014/main" id="{E8EBD494-2D1D-40D7-A006-C742307DCF1B}"/>
            </a:ext>
          </a:extLst>
        </xdr:cNvPr>
        <xdr:cNvGrpSpPr/>
      </xdr:nvGrpSpPr>
      <xdr:grpSpPr>
        <a:xfrm>
          <a:off x="0" y="0"/>
          <a:ext cx="0" cy="0"/>
          <a:chOff x="47625" y="57150"/>
          <a:chExt cx="666750" cy="542925"/>
        </a:xfrm>
      </xdr:grpSpPr>
      <xdr:sp macro="" textlink="">
        <xdr:nvSpPr>
          <xdr:cNvPr id="12" name="Rectángulo 11">
            <a:extLst>
              <a:ext uri="{FF2B5EF4-FFF2-40B4-BE49-F238E27FC236}">
                <a16:creationId xmlns:a16="http://schemas.microsoft.com/office/drawing/2014/main" id="{4726D67F-D772-4A19-96DE-DF4B387C1AC8}"/>
              </a:ext>
            </a:extLst>
          </xdr:cNvPr>
          <xdr:cNvSpPr/>
        </xdr:nvSpPr>
        <xdr:spPr>
          <a:xfrm>
            <a:off x="47625" y="57150"/>
            <a:ext cx="666750" cy="542925"/>
          </a:xfrm>
          <a:prstGeom prst="rect">
            <a:avLst/>
          </a:prstGeom>
          <a:solidFill>
            <a:srgbClr val="00C689"/>
          </a:solidFill>
          <a:ln>
            <a:solidFill>
              <a:srgbClr val="00C68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13" name="Gráfico 12" descr="Hogar con relleno sólido">
            <a:extLst>
              <a:ext uri="{FF2B5EF4-FFF2-40B4-BE49-F238E27FC236}">
                <a16:creationId xmlns:a16="http://schemas.microsoft.com/office/drawing/2014/main" id="{7D3082E9-91A6-4417-A7D1-1033AA42DB31}"/>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90501" y="123826"/>
            <a:ext cx="381000" cy="381000"/>
          </a:xfrm>
          <a:prstGeom prst="rect">
            <a:avLst/>
          </a:prstGeom>
        </xdr:spPr>
      </xdr:pic>
    </xdr:grpSp>
    <xdr:clientData/>
  </xdr:twoCellAnchor>
  <xdr:twoCellAnchor>
    <xdr:from>
      <xdr:col>0</xdr:col>
      <xdr:colOff>0</xdr:colOff>
      <xdr:row>0</xdr:row>
      <xdr:rowOff>0</xdr:rowOff>
    </xdr:from>
    <xdr:to>
      <xdr:col>0</xdr:col>
      <xdr:colOff>0</xdr:colOff>
      <xdr:row>0</xdr:row>
      <xdr:rowOff>0</xdr:rowOff>
    </xdr:to>
    <xdr:cxnSp macro="">
      <xdr:nvCxnSpPr>
        <xdr:cNvPr id="15" name="Conector recto 14">
          <a:extLst>
            <a:ext uri="{FF2B5EF4-FFF2-40B4-BE49-F238E27FC236}">
              <a16:creationId xmlns:a16="http://schemas.microsoft.com/office/drawing/2014/main" id="{2AAD1759-DF78-4D65-8F6E-51087E28F9A6}"/>
            </a:ext>
          </a:extLst>
        </xdr:cNvPr>
        <xdr:cNvCxnSpPr/>
      </xdr:nvCxnSpPr>
      <xdr:spPr>
        <a:xfrm>
          <a:off x="752475" y="66675"/>
          <a:ext cx="0" cy="504825"/>
        </a:xfrm>
        <a:prstGeom prst="line">
          <a:avLst/>
        </a:prstGeom>
        <a:ln w="12700">
          <a:solidFill>
            <a:schemeClr val="bg1">
              <a:lumMod val="65000"/>
            </a:scheme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0</xdr:col>
      <xdr:colOff>0</xdr:colOff>
      <xdr:row>0</xdr:row>
      <xdr:rowOff>0</xdr:rowOff>
    </xdr:from>
    <xdr:to>
      <xdr:col>0</xdr:col>
      <xdr:colOff>0</xdr:colOff>
      <xdr:row>0</xdr:row>
      <xdr:rowOff>0</xdr:rowOff>
    </xdr:to>
    <xdr:grpSp>
      <xdr:nvGrpSpPr>
        <xdr:cNvPr id="23" name="Grupo 22">
          <a:hlinkClick xmlns:r="http://schemas.openxmlformats.org/officeDocument/2006/relationships" r:id="rId1"/>
          <a:extLst>
            <a:ext uri="{FF2B5EF4-FFF2-40B4-BE49-F238E27FC236}">
              <a16:creationId xmlns:a16="http://schemas.microsoft.com/office/drawing/2014/main" id="{E6191150-397E-462E-BF0D-1349092A7093}"/>
            </a:ext>
          </a:extLst>
        </xdr:cNvPr>
        <xdr:cNvGrpSpPr/>
      </xdr:nvGrpSpPr>
      <xdr:grpSpPr>
        <a:xfrm>
          <a:off x="0" y="0"/>
          <a:ext cx="0" cy="0"/>
          <a:chOff x="47625" y="57150"/>
          <a:chExt cx="666750" cy="542925"/>
        </a:xfrm>
      </xdr:grpSpPr>
      <xdr:sp macro="" textlink="">
        <xdr:nvSpPr>
          <xdr:cNvPr id="24" name="Rectángulo 23">
            <a:extLst>
              <a:ext uri="{FF2B5EF4-FFF2-40B4-BE49-F238E27FC236}">
                <a16:creationId xmlns:a16="http://schemas.microsoft.com/office/drawing/2014/main" id="{FDE34F5D-A6C5-46D0-98CD-05C6DCD5FBB2}"/>
              </a:ext>
            </a:extLst>
          </xdr:cNvPr>
          <xdr:cNvSpPr/>
        </xdr:nvSpPr>
        <xdr:spPr>
          <a:xfrm>
            <a:off x="47625" y="57150"/>
            <a:ext cx="666750" cy="542925"/>
          </a:xfrm>
          <a:prstGeom prst="rect">
            <a:avLst/>
          </a:prstGeom>
          <a:solidFill>
            <a:srgbClr val="00C689"/>
          </a:solidFill>
          <a:ln>
            <a:solidFill>
              <a:srgbClr val="00C689"/>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lang="es-MX" sz="1100"/>
          </a:p>
        </xdr:txBody>
      </xdr:sp>
      <xdr:pic>
        <xdr:nvPicPr>
          <xdr:cNvPr id="25" name="Gráfico 24" descr="Hogar con relleno sólido">
            <a:extLst>
              <a:ext uri="{FF2B5EF4-FFF2-40B4-BE49-F238E27FC236}">
                <a16:creationId xmlns:a16="http://schemas.microsoft.com/office/drawing/2014/main" id="{426F757C-1195-47B5-8B6C-BED5CE561E17}"/>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 uri="{96DAC541-7B7A-43D3-8B79-37D633B846F1}">
                <asvg:svgBlip xmlns:asvg="http://schemas.microsoft.com/office/drawing/2016/SVG/main" r:embed="rId3"/>
              </a:ext>
            </a:extLst>
          </a:blip>
          <a:stretch>
            <a:fillRect/>
          </a:stretch>
        </xdr:blipFill>
        <xdr:spPr>
          <a:xfrm>
            <a:off x="190501" y="123826"/>
            <a:ext cx="381000" cy="381000"/>
          </a:xfrm>
          <a:prstGeom prst="rect">
            <a:avLst/>
          </a:prstGeom>
        </xdr:spPr>
      </xdr:pic>
    </xdr:grpSp>
    <xdr:clientData/>
  </xdr:twoCellAnchor>
  <xdr:twoCellAnchor>
    <xdr:from>
      <xdr:col>1</xdr:col>
      <xdr:colOff>0</xdr:colOff>
      <xdr:row>10</xdr:row>
      <xdr:rowOff>0</xdr:rowOff>
    </xdr:from>
    <xdr:to>
      <xdr:col>2</xdr:col>
      <xdr:colOff>180975</xdr:colOff>
      <xdr:row>11</xdr:row>
      <xdr:rowOff>169500</xdr:rowOff>
    </xdr:to>
    <xdr:sp macro="[0]!Decreciente" textlink="">
      <xdr:nvSpPr>
        <xdr:cNvPr id="32" name="Rectángulo: esquinas redondeadas 31">
          <a:extLst>
            <a:ext uri="{FF2B5EF4-FFF2-40B4-BE49-F238E27FC236}">
              <a16:creationId xmlns:a16="http://schemas.microsoft.com/office/drawing/2014/main" id="{6F237CB9-94CA-48E1-90A4-07BFEB7C9C7E}"/>
            </a:ext>
          </a:extLst>
        </xdr:cNvPr>
        <xdr:cNvSpPr/>
      </xdr:nvSpPr>
      <xdr:spPr>
        <a:xfrm>
          <a:off x="762000" y="1962150"/>
          <a:ext cx="942975" cy="360000"/>
        </a:xfrm>
        <a:prstGeom prst="roundRect">
          <a:avLst>
            <a:gd name="adj" fmla="val 50000"/>
          </a:avLst>
        </a:prstGeom>
        <a:solidFill>
          <a:schemeClr val="bg2">
            <a:lumMod val="50000"/>
          </a:schemeClr>
        </a:solidFill>
        <a:effectLst>
          <a:outerShdw blurRad="63500" sx="102000" sy="102000" algn="ctr" rotWithShape="0">
            <a:prstClr val="black">
              <a:alpha val="40000"/>
            </a:prstClr>
          </a:outerShdw>
        </a:effectLst>
        <a:scene3d>
          <a:camera prst="orthographicFront"/>
          <a:lightRig rig="threePt" dir="t"/>
        </a:scene3d>
        <a:sp3d>
          <a:bevelT/>
        </a:sp3d>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ctr"/>
          <a:r>
            <a:rPr lang="es-MX" sz="900" b="1">
              <a:solidFill>
                <a:schemeClr val="bg1">
                  <a:lumMod val="95000"/>
                </a:schemeClr>
              </a:solidFill>
              <a:latin typeface="Bahnschrift Light" panose="020B0502040204020203" pitchFamily="34" charset="0"/>
            </a:rPr>
            <a:t>Decreciente</a:t>
          </a:r>
        </a:p>
      </xdr:txBody>
    </xdr:sp>
    <xdr:clientData/>
  </xdr:twoCellAnchor>
  <xdr:twoCellAnchor>
    <xdr:from>
      <xdr:col>1</xdr:col>
      <xdr:colOff>0</xdr:colOff>
      <xdr:row>12</xdr:row>
      <xdr:rowOff>0</xdr:rowOff>
    </xdr:from>
    <xdr:to>
      <xdr:col>2</xdr:col>
      <xdr:colOff>180975</xdr:colOff>
      <xdr:row>13</xdr:row>
      <xdr:rowOff>169500</xdr:rowOff>
    </xdr:to>
    <xdr:sp macro="[0]!Iguales" textlink="">
      <xdr:nvSpPr>
        <xdr:cNvPr id="33" name="Rectángulo: esquinas redondeadas 32">
          <a:extLst>
            <a:ext uri="{FF2B5EF4-FFF2-40B4-BE49-F238E27FC236}">
              <a16:creationId xmlns:a16="http://schemas.microsoft.com/office/drawing/2014/main" id="{0E932C44-2496-4F21-A244-4881AF9D8EFE}"/>
            </a:ext>
          </a:extLst>
        </xdr:cNvPr>
        <xdr:cNvSpPr/>
      </xdr:nvSpPr>
      <xdr:spPr>
        <a:xfrm>
          <a:off x="762000" y="2343150"/>
          <a:ext cx="942975" cy="360000"/>
        </a:xfrm>
        <a:prstGeom prst="roundRect">
          <a:avLst>
            <a:gd name="adj" fmla="val 50000"/>
          </a:avLst>
        </a:prstGeom>
        <a:solidFill>
          <a:schemeClr val="bg2">
            <a:lumMod val="50000"/>
          </a:schemeClr>
        </a:solidFill>
        <a:effectLst>
          <a:outerShdw blurRad="63500" sx="102000" sy="102000" algn="ctr" rotWithShape="0">
            <a:prstClr val="black">
              <a:alpha val="40000"/>
            </a:prstClr>
          </a:outerShdw>
        </a:effectLst>
        <a:scene3d>
          <a:camera prst="orthographicFront"/>
          <a:lightRig rig="threePt" dir="t"/>
        </a:scene3d>
        <a:sp3d>
          <a:bevelT/>
        </a:sp3d>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ctr"/>
          <a:r>
            <a:rPr lang="es-MX" sz="1100" b="1">
              <a:solidFill>
                <a:schemeClr val="bg1">
                  <a:lumMod val="95000"/>
                </a:schemeClr>
              </a:solidFill>
              <a:latin typeface="Bahnschrift Light" panose="020B0502040204020203" pitchFamily="34" charset="0"/>
            </a:rPr>
            <a:t>Iguales</a:t>
          </a:r>
        </a:p>
      </xdr:txBody>
    </xdr:sp>
    <xdr:clientData/>
  </xdr:twoCellAnchor>
  <xdr:twoCellAnchor>
    <xdr:from>
      <xdr:col>1</xdr:col>
      <xdr:colOff>0</xdr:colOff>
      <xdr:row>14</xdr:row>
      <xdr:rowOff>0</xdr:rowOff>
    </xdr:from>
    <xdr:to>
      <xdr:col>2</xdr:col>
      <xdr:colOff>180975</xdr:colOff>
      <xdr:row>15</xdr:row>
      <xdr:rowOff>169500</xdr:rowOff>
    </xdr:to>
    <xdr:sp macro="[0]!Crecientes" textlink="">
      <xdr:nvSpPr>
        <xdr:cNvPr id="34" name="Rectángulo: esquinas redondeadas 33">
          <a:extLst>
            <a:ext uri="{FF2B5EF4-FFF2-40B4-BE49-F238E27FC236}">
              <a16:creationId xmlns:a16="http://schemas.microsoft.com/office/drawing/2014/main" id="{EB17C21F-58D0-4A62-B115-AAA03A428321}"/>
            </a:ext>
          </a:extLst>
        </xdr:cNvPr>
        <xdr:cNvSpPr/>
      </xdr:nvSpPr>
      <xdr:spPr>
        <a:xfrm>
          <a:off x="762000" y="2724150"/>
          <a:ext cx="942975" cy="360000"/>
        </a:xfrm>
        <a:prstGeom prst="roundRect">
          <a:avLst>
            <a:gd name="adj" fmla="val 50000"/>
          </a:avLst>
        </a:prstGeom>
        <a:solidFill>
          <a:schemeClr val="bg2">
            <a:lumMod val="50000"/>
          </a:schemeClr>
        </a:solidFill>
        <a:effectLst>
          <a:outerShdw blurRad="63500" sx="102000" sy="102000" algn="ctr" rotWithShape="0">
            <a:prstClr val="black">
              <a:alpha val="40000"/>
            </a:prstClr>
          </a:outerShdw>
        </a:effectLst>
        <a:scene3d>
          <a:camera prst="orthographicFront"/>
          <a:lightRig rig="threePt" dir="t"/>
        </a:scene3d>
        <a:sp3d>
          <a:bevelT/>
        </a:sp3d>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ctr"/>
          <a:r>
            <a:rPr lang="es-MX" sz="1000" b="1">
              <a:solidFill>
                <a:schemeClr val="bg1">
                  <a:lumMod val="95000"/>
                </a:schemeClr>
              </a:solidFill>
              <a:latin typeface="Bahnschrift Light" panose="020B0502040204020203" pitchFamily="34" charset="0"/>
            </a:rPr>
            <a:t>Crecientes</a:t>
          </a:r>
        </a:p>
      </xdr:txBody>
    </xdr:sp>
    <xdr:clientData/>
  </xdr:twoCellAnchor>
  <xdr:twoCellAnchor>
    <xdr:from>
      <xdr:col>1</xdr:col>
      <xdr:colOff>0</xdr:colOff>
      <xdr:row>16</xdr:row>
      <xdr:rowOff>0</xdr:rowOff>
    </xdr:from>
    <xdr:to>
      <xdr:col>2</xdr:col>
      <xdr:colOff>180975</xdr:colOff>
      <xdr:row>17</xdr:row>
      <xdr:rowOff>169500</xdr:rowOff>
    </xdr:to>
    <xdr:sp macro="[0]!Bullet" textlink="">
      <xdr:nvSpPr>
        <xdr:cNvPr id="35" name="Rectángulo: esquinas redondeadas 34">
          <a:extLst>
            <a:ext uri="{FF2B5EF4-FFF2-40B4-BE49-F238E27FC236}">
              <a16:creationId xmlns:a16="http://schemas.microsoft.com/office/drawing/2014/main" id="{7F0CC5D0-8181-43A7-A6AD-3DE45ABD1350}"/>
            </a:ext>
          </a:extLst>
        </xdr:cNvPr>
        <xdr:cNvSpPr/>
      </xdr:nvSpPr>
      <xdr:spPr>
        <a:xfrm>
          <a:off x="762000" y="3105150"/>
          <a:ext cx="942975" cy="360000"/>
        </a:xfrm>
        <a:prstGeom prst="roundRect">
          <a:avLst>
            <a:gd name="adj" fmla="val 50000"/>
          </a:avLst>
        </a:prstGeom>
        <a:solidFill>
          <a:schemeClr val="bg2">
            <a:lumMod val="50000"/>
          </a:schemeClr>
        </a:solidFill>
        <a:effectLst>
          <a:outerShdw blurRad="63500" sx="102000" sy="102000" algn="ctr" rotWithShape="0">
            <a:prstClr val="black">
              <a:alpha val="40000"/>
            </a:prstClr>
          </a:outerShdw>
        </a:effectLst>
        <a:scene3d>
          <a:camera prst="orthographicFront"/>
          <a:lightRig rig="threePt" dir="t"/>
        </a:scene3d>
        <a:sp3d>
          <a:bevelT/>
        </a:sp3d>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ctr"/>
          <a:r>
            <a:rPr lang="es-MX" sz="1100" b="1">
              <a:solidFill>
                <a:schemeClr val="bg1">
                  <a:lumMod val="95000"/>
                </a:schemeClr>
              </a:solidFill>
              <a:latin typeface="Bahnschrift Light" panose="020B0502040204020203" pitchFamily="34" charset="0"/>
            </a:rPr>
            <a:t>Bullet</a:t>
          </a:r>
        </a:p>
      </xdr:txBody>
    </xdr:sp>
    <xdr:clientData/>
  </xdr:twoCellAnchor>
  <xdr:twoCellAnchor>
    <xdr:from>
      <xdr:col>1</xdr:col>
      <xdr:colOff>0</xdr:colOff>
      <xdr:row>19</xdr:row>
      <xdr:rowOff>0</xdr:rowOff>
    </xdr:from>
    <xdr:to>
      <xdr:col>2</xdr:col>
      <xdr:colOff>180975</xdr:colOff>
      <xdr:row>20</xdr:row>
      <xdr:rowOff>169500</xdr:rowOff>
    </xdr:to>
    <xdr:sp macro="[0]!Simulador" textlink="">
      <xdr:nvSpPr>
        <xdr:cNvPr id="36" name="Rectángulo: esquinas redondeadas 35">
          <a:extLst>
            <a:ext uri="{FF2B5EF4-FFF2-40B4-BE49-F238E27FC236}">
              <a16:creationId xmlns:a16="http://schemas.microsoft.com/office/drawing/2014/main" id="{A1BC85E9-880F-4907-9275-D326CB9B1816}"/>
            </a:ext>
          </a:extLst>
        </xdr:cNvPr>
        <xdr:cNvSpPr/>
      </xdr:nvSpPr>
      <xdr:spPr>
        <a:xfrm>
          <a:off x="762000" y="3676650"/>
          <a:ext cx="942975" cy="360000"/>
        </a:xfrm>
        <a:prstGeom prst="roundRect">
          <a:avLst>
            <a:gd name="adj" fmla="val 50000"/>
          </a:avLst>
        </a:prstGeom>
        <a:solidFill>
          <a:schemeClr val="bg2">
            <a:lumMod val="50000"/>
          </a:schemeClr>
        </a:solidFill>
        <a:effectLst>
          <a:outerShdw blurRad="63500" sx="102000" sy="102000" algn="ctr" rotWithShape="0">
            <a:prstClr val="black">
              <a:alpha val="40000"/>
            </a:prstClr>
          </a:outerShdw>
        </a:effectLst>
        <a:scene3d>
          <a:camera prst="orthographicFront"/>
          <a:lightRig rig="threePt" dir="t"/>
        </a:scene3d>
        <a:sp3d>
          <a:bevelT/>
        </a:sp3d>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ctr"/>
          <a:r>
            <a:rPr lang="es-MX" sz="1100" b="1">
              <a:solidFill>
                <a:schemeClr val="bg1">
                  <a:lumMod val="95000"/>
                </a:schemeClr>
              </a:solidFill>
              <a:latin typeface="Bahnschrift Light" panose="020B0502040204020203" pitchFamily="34" charset="0"/>
            </a:rPr>
            <a:t>Simulador</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1</xdr:col>
      <xdr:colOff>0</xdr:colOff>
      <xdr:row>10</xdr:row>
      <xdr:rowOff>0</xdr:rowOff>
    </xdr:from>
    <xdr:to>
      <xdr:col>2</xdr:col>
      <xdr:colOff>180975</xdr:colOff>
      <xdr:row>11</xdr:row>
      <xdr:rowOff>169500</xdr:rowOff>
    </xdr:to>
    <xdr:sp macro="[0]!Decreciente" textlink="">
      <xdr:nvSpPr>
        <xdr:cNvPr id="18" name="Rectángulo: esquinas redondeadas 17">
          <a:extLst>
            <a:ext uri="{FF2B5EF4-FFF2-40B4-BE49-F238E27FC236}">
              <a16:creationId xmlns:a16="http://schemas.microsoft.com/office/drawing/2014/main" id="{C82F3D48-59A9-472D-8B1B-AC16EF55450A}"/>
            </a:ext>
          </a:extLst>
        </xdr:cNvPr>
        <xdr:cNvSpPr/>
      </xdr:nvSpPr>
      <xdr:spPr>
        <a:xfrm>
          <a:off x="762000" y="1962150"/>
          <a:ext cx="942975" cy="360000"/>
        </a:xfrm>
        <a:prstGeom prst="roundRect">
          <a:avLst>
            <a:gd name="adj" fmla="val 50000"/>
          </a:avLst>
        </a:prstGeom>
        <a:solidFill>
          <a:schemeClr val="bg2">
            <a:lumMod val="50000"/>
          </a:schemeClr>
        </a:solidFill>
        <a:effectLst>
          <a:outerShdw blurRad="63500" sx="102000" sy="102000" algn="ctr" rotWithShape="0">
            <a:prstClr val="black">
              <a:alpha val="40000"/>
            </a:prstClr>
          </a:outerShdw>
        </a:effectLst>
        <a:scene3d>
          <a:camera prst="orthographicFront"/>
          <a:lightRig rig="threePt" dir="t"/>
        </a:scene3d>
        <a:sp3d>
          <a:bevelT/>
        </a:sp3d>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ctr"/>
          <a:r>
            <a:rPr lang="es-MX" sz="900" b="1">
              <a:solidFill>
                <a:schemeClr val="bg1">
                  <a:lumMod val="95000"/>
                </a:schemeClr>
              </a:solidFill>
              <a:latin typeface="Bahnschrift Light" panose="020B0502040204020203" pitchFamily="34" charset="0"/>
            </a:rPr>
            <a:t>Decreciente</a:t>
          </a:r>
        </a:p>
      </xdr:txBody>
    </xdr:sp>
    <xdr:clientData/>
  </xdr:twoCellAnchor>
  <xdr:twoCellAnchor>
    <xdr:from>
      <xdr:col>1</xdr:col>
      <xdr:colOff>0</xdr:colOff>
      <xdr:row>12</xdr:row>
      <xdr:rowOff>0</xdr:rowOff>
    </xdr:from>
    <xdr:to>
      <xdr:col>2</xdr:col>
      <xdr:colOff>180975</xdr:colOff>
      <xdr:row>13</xdr:row>
      <xdr:rowOff>169500</xdr:rowOff>
    </xdr:to>
    <xdr:sp macro="[0]!Iguales" textlink="">
      <xdr:nvSpPr>
        <xdr:cNvPr id="19" name="Rectángulo: esquinas redondeadas 18">
          <a:extLst>
            <a:ext uri="{FF2B5EF4-FFF2-40B4-BE49-F238E27FC236}">
              <a16:creationId xmlns:a16="http://schemas.microsoft.com/office/drawing/2014/main" id="{6AB67F39-A16A-4557-A669-0A596E3E4CA9}"/>
            </a:ext>
          </a:extLst>
        </xdr:cNvPr>
        <xdr:cNvSpPr/>
      </xdr:nvSpPr>
      <xdr:spPr>
        <a:xfrm>
          <a:off x="762000" y="2343150"/>
          <a:ext cx="942975" cy="360000"/>
        </a:xfrm>
        <a:prstGeom prst="roundRect">
          <a:avLst>
            <a:gd name="adj" fmla="val 50000"/>
          </a:avLst>
        </a:prstGeom>
        <a:solidFill>
          <a:schemeClr val="bg2">
            <a:lumMod val="50000"/>
          </a:schemeClr>
        </a:solidFill>
        <a:effectLst>
          <a:outerShdw blurRad="63500" sx="102000" sy="102000" algn="ctr" rotWithShape="0">
            <a:prstClr val="black">
              <a:alpha val="40000"/>
            </a:prstClr>
          </a:outerShdw>
        </a:effectLst>
        <a:scene3d>
          <a:camera prst="orthographicFront"/>
          <a:lightRig rig="threePt" dir="t"/>
        </a:scene3d>
        <a:sp3d>
          <a:bevelT/>
        </a:sp3d>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ctr"/>
          <a:r>
            <a:rPr lang="es-MX" sz="1100" b="1">
              <a:solidFill>
                <a:schemeClr val="bg1">
                  <a:lumMod val="95000"/>
                </a:schemeClr>
              </a:solidFill>
              <a:latin typeface="Bahnschrift Light" panose="020B0502040204020203" pitchFamily="34" charset="0"/>
            </a:rPr>
            <a:t>Iguales</a:t>
          </a:r>
        </a:p>
      </xdr:txBody>
    </xdr:sp>
    <xdr:clientData/>
  </xdr:twoCellAnchor>
  <xdr:twoCellAnchor>
    <xdr:from>
      <xdr:col>1</xdr:col>
      <xdr:colOff>0</xdr:colOff>
      <xdr:row>14</xdr:row>
      <xdr:rowOff>0</xdr:rowOff>
    </xdr:from>
    <xdr:to>
      <xdr:col>2</xdr:col>
      <xdr:colOff>180975</xdr:colOff>
      <xdr:row>15</xdr:row>
      <xdr:rowOff>169500</xdr:rowOff>
    </xdr:to>
    <xdr:sp macro="[0]!Crecientes" textlink="">
      <xdr:nvSpPr>
        <xdr:cNvPr id="20" name="Rectángulo: esquinas redondeadas 19">
          <a:extLst>
            <a:ext uri="{FF2B5EF4-FFF2-40B4-BE49-F238E27FC236}">
              <a16:creationId xmlns:a16="http://schemas.microsoft.com/office/drawing/2014/main" id="{EDA98691-FA0B-4752-9BB2-4DCB0ABE1322}"/>
            </a:ext>
          </a:extLst>
        </xdr:cNvPr>
        <xdr:cNvSpPr/>
      </xdr:nvSpPr>
      <xdr:spPr>
        <a:xfrm>
          <a:off x="762000" y="2724150"/>
          <a:ext cx="942975" cy="360000"/>
        </a:xfrm>
        <a:prstGeom prst="roundRect">
          <a:avLst>
            <a:gd name="adj" fmla="val 50000"/>
          </a:avLst>
        </a:prstGeom>
        <a:solidFill>
          <a:schemeClr val="bg2">
            <a:lumMod val="50000"/>
          </a:schemeClr>
        </a:solidFill>
        <a:effectLst>
          <a:outerShdw blurRad="63500" sx="102000" sy="102000" algn="ctr" rotWithShape="0">
            <a:prstClr val="black">
              <a:alpha val="40000"/>
            </a:prstClr>
          </a:outerShdw>
        </a:effectLst>
        <a:scene3d>
          <a:camera prst="orthographicFront"/>
          <a:lightRig rig="threePt" dir="t"/>
        </a:scene3d>
        <a:sp3d>
          <a:bevelT/>
        </a:sp3d>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ctr"/>
          <a:r>
            <a:rPr lang="es-MX" sz="1000" b="1">
              <a:solidFill>
                <a:schemeClr val="bg1">
                  <a:lumMod val="95000"/>
                </a:schemeClr>
              </a:solidFill>
              <a:latin typeface="Bahnschrift Light" panose="020B0502040204020203" pitchFamily="34" charset="0"/>
            </a:rPr>
            <a:t>Crecientes</a:t>
          </a:r>
        </a:p>
      </xdr:txBody>
    </xdr:sp>
    <xdr:clientData/>
  </xdr:twoCellAnchor>
  <xdr:twoCellAnchor>
    <xdr:from>
      <xdr:col>1</xdr:col>
      <xdr:colOff>0</xdr:colOff>
      <xdr:row>16</xdr:row>
      <xdr:rowOff>0</xdr:rowOff>
    </xdr:from>
    <xdr:to>
      <xdr:col>2</xdr:col>
      <xdr:colOff>180975</xdr:colOff>
      <xdr:row>17</xdr:row>
      <xdr:rowOff>169500</xdr:rowOff>
    </xdr:to>
    <xdr:sp macro="[0]!Bullet" textlink="">
      <xdr:nvSpPr>
        <xdr:cNvPr id="21" name="Rectángulo: esquinas redondeadas 20">
          <a:extLst>
            <a:ext uri="{FF2B5EF4-FFF2-40B4-BE49-F238E27FC236}">
              <a16:creationId xmlns:a16="http://schemas.microsoft.com/office/drawing/2014/main" id="{C677297D-06FB-4EF5-B768-40FD727F5590}"/>
            </a:ext>
          </a:extLst>
        </xdr:cNvPr>
        <xdr:cNvSpPr/>
      </xdr:nvSpPr>
      <xdr:spPr>
        <a:xfrm>
          <a:off x="762000" y="3105150"/>
          <a:ext cx="942975" cy="360000"/>
        </a:xfrm>
        <a:prstGeom prst="roundRect">
          <a:avLst>
            <a:gd name="adj" fmla="val 50000"/>
          </a:avLst>
        </a:prstGeom>
        <a:solidFill>
          <a:schemeClr val="bg2">
            <a:lumMod val="50000"/>
          </a:schemeClr>
        </a:solidFill>
        <a:effectLst>
          <a:outerShdw blurRad="63500" sx="102000" sy="102000" algn="ctr" rotWithShape="0">
            <a:prstClr val="black">
              <a:alpha val="40000"/>
            </a:prstClr>
          </a:outerShdw>
        </a:effectLst>
        <a:scene3d>
          <a:camera prst="orthographicFront"/>
          <a:lightRig rig="threePt" dir="t"/>
        </a:scene3d>
        <a:sp3d>
          <a:bevelT/>
        </a:sp3d>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ctr"/>
          <a:r>
            <a:rPr lang="es-MX" sz="1100" b="1">
              <a:solidFill>
                <a:schemeClr val="bg1">
                  <a:lumMod val="95000"/>
                </a:schemeClr>
              </a:solidFill>
              <a:latin typeface="Bahnschrift Light" panose="020B0502040204020203" pitchFamily="34" charset="0"/>
            </a:rPr>
            <a:t>Bullet</a:t>
          </a:r>
        </a:p>
      </xdr:txBody>
    </xdr:sp>
    <xdr:clientData/>
  </xdr:twoCellAnchor>
  <xdr:twoCellAnchor>
    <xdr:from>
      <xdr:col>1</xdr:col>
      <xdr:colOff>0</xdr:colOff>
      <xdr:row>19</xdr:row>
      <xdr:rowOff>0</xdr:rowOff>
    </xdr:from>
    <xdr:to>
      <xdr:col>2</xdr:col>
      <xdr:colOff>180975</xdr:colOff>
      <xdr:row>20</xdr:row>
      <xdr:rowOff>169500</xdr:rowOff>
    </xdr:to>
    <xdr:sp macro="[0]!Simulador" textlink="">
      <xdr:nvSpPr>
        <xdr:cNvPr id="22" name="Rectángulo: esquinas redondeadas 21">
          <a:extLst>
            <a:ext uri="{FF2B5EF4-FFF2-40B4-BE49-F238E27FC236}">
              <a16:creationId xmlns:a16="http://schemas.microsoft.com/office/drawing/2014/main" id="{CB3667A9-EECE-4A8F-B842-3DFC370FB5C8}"/>
            </a:ext>
          </a:extLst>
        </xdr:cNvPr>
        <xdr:cNvSpPr/>
      </xdr:nvSpPr>
      <xdr:spPr>
        <a:xfrm>
          <a:off x="762000" y="3676650"/>
          <a:ext cx="942975" cy="360000"/>
        </a:xfrm>
        <a:prstGeom prst="roundRect">
          <a:avLst>
            <a:gd name="adj" fmla="val 50000"/>
          </a:avLst>
        </a:prstGeom>
        <a:solidFill>
          <a:schemeClr val="bg2">
            <a:lumMod val="50000"/>
          </a:schemeClr>
        </a:solidFill>
        <a:effectLst>
          <a:outerShdw blurRad="63500" sx="102000" sy="102000" algn="ctr" rotWithShape="0">
            <a:prstClr val="black">
              <a:alpha val="40000"/>
            </a:prstClr>
          </a:outerShdw>
        </a:effectLst>
        <a:scene3d>
          <a:camera prst="orthographicFront"/>
          <a:lightRig rig="threePt" dir="t"/>
        </a:scene3d>
        <a:sp3d>
          <a:bevelT/>
        </a:sp3d>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ctr"/>
          <a:r>
            <a:rPr lang="es-MX" sz="1100" b="1">
              <a:solidFill>
                <a:schemeClr val="bg1">
                  <a:lumMod val="95000"/>
                </a:schemeClr>
              </a:solidFill>
              <a:latin typeface="Bahnschrift Light" panose="020B0502040204020203" pitchFamily="34" charset="0"/>
            </a:rPr>
            <a:t>Simulador</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7</xdr:col>
      <xdr:colOff>295275</xdr:colOff>
      <xdr:row>18</xdr:row>
      <xdr:rowOff>95250</xdr:rowOff>
    </xdr:from>
    <xdr:to>
      <xdr:col>8</xdr:col>
      <xdr:colOff>476250</xdr:colOff>
      <xdr:row>20</xdr:row>
      <xdr:rowOff>64725</xdr:rowOff>
    </xdr:to>
    <xdr:sp macro="[0]!Simulador" textlink="">
      <xdr:nvSpPr>
        <xdr:cNvPr id="13" name="Rectángulo: esquinas redondeadas 12">
          <a:extLst>
            <a:ext uri="{FF2B5EF4-FFF2-40B4-BE49-F238E27FC236}">
              <a16:creationId xmlns:a16="http://schemas.microsoft.com/office/drawing/2014/main" id="{3699FD8C-31B3-4BD6-867E-AA143D753012}"/>
            </a:ext>
          </a:extLst>
        </xdr:cNvPr>
        <xdr:cNvSpPr/>
      </xdr:nvSpPr>
      <xdr:spPr>
        <a:xfrm>
          <a:off x="5629275" y="3800475"/>
          <a:ext cx="942975" cy="360000"/>
        </a:xfrm>
        <a:prstGeom prst="roundRect">
          <a:avLst>
            <a:gd name="adj" fmla="val 50000"/>
          </a:avLst>
        </a:prstGeom>
        <a:solidFill>
          <a:schemeClr val="bg2">
            <a:lumMod val="50000"/>
          </a:schemeClr>
        </a:solidFill>
        <a:effectLst>
          <a:outerShdw blurRad="63500" sx="102000" sy="102000" algn="ctr" rotWithShape="0">
            <a:prstClr val="black">
              <a:alpha val="40000"/>
            </a:prstClr>
          </a:outerShdw>
        </a:effectLst>
        <a:scene3d>
          <a:camera prst="orthographicFront"/>
          <a:lightRig rig="threePt" dir="t"/>
        </a:scene3d>
        <a:sp3d>
          <a:bevelT/>
        </a:sp3d>
      </xdr:spPr>
      <xdr:style>
        <a:lnRef idx="3">
          <a:schemeClr val="lt1"/>
        </a:lnRef>
        <a:fillRef idx="1">
          <a:schemeClr val="accent3"/>
        </a:fillRef>
        <a:effectRef idx="1">
          <a:schemeClr val="accent3"/>
        </a:effectRef>
        <a:fontRef idx="minor">
          <a:schemeClr val="lt1"/>
        </a:fontRef>
      </xdr:style>
      <xdr:txBody>
        <a:bodyPr vertOverflow="clip" horzOverflow="clip" rtlCol="0" anchor="t"/>
        <a:lstStyle/>
        <a:p>
          <a:pPr algn="ctr"/>
          <a:r>
            <a:rPr lang="es-MX" sz="1100" b="1">
              <a:solidFill>
                <a:schemeClr val="bg1">
                  <a:lumMod val="95000"/>
                </a:schemeClr>
              </a:solidFill>
              <a:latin typeface="Bahnschrift Light" panose="020B0502040204020203" pitchFamily="34" charset="0"/>
            </a:rPr>
            <a:t>Simulador</a:t>
          </a:r>
        </a:p>
      </xdr:txBody>
    </xdr:sp>
    <xdr:clientData/>
  </xdr:twoCellAnchor>
  <xdr:twoCellAnchor editAs="oneCell">
    <xdr:from>
      <xdr:col>8</xdr:col>
      <xdr:colOff>238125</xdr:colOff>
      <xdr:row>2</xdr:row>
      <xdr:rowOff>161925</xdr:rowOff>
    </xdr:from>
    <xdr:to>
      <xdr:col>11</xdr:col>
      <xdr:colOff>95250</xdr:colOff>
      <xdr:row>14</xdr:row>
      <xdr:rowOff>19050</xdr:rowOff>
    </xdr:to>
    <xdr:pic>
      <xdr:nvPicPr>
        <xdr:cNvPr id="4" name="Imagen 3">
          <a:extLst>
            <a:ext uri="{FF2B5EF4-FFF2-40B4-BE49-F238E27FC236}">
              <a16:creationId xmlns:a16="http://schemas.microsoft.com/office/drawing/2014/main" id="{560B6ACD-1CD2-469E-8183-134A2FA7C575}"/>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6334125" y="819150"/>
          <a:ext cx="2143125" cy="2143125"/>
        </a:xfrm>
        <a:prstGeom prst="rect">
          <a:avLst/>
        </a:prstGeom>
      </xdr:spPr>
    </xdr:pic>
    <xdr:clientData/>
  </xdr:twoCellAnchor>
  <xdr:twoCellAnchor>
    <xdr:from>
      <xdr:col>2</xdr:col>
      <xdr:colOff>0</xdr:colOff>
      <xdr:row>5</xdr:row>
      <xdr:rowOff>0</xdr:rowOff>
    </xdr:from>
    <xdr:to>
      <xdr:col>7</xdr:col>
      <xdr:colOff>457200</xdr:colOff>
      <xdr:row>12</xdr:row>
      <xdr:rowOff>133350</xdr:rowOff>
    </xdr:to>
    <xdr:sp macro="" textlink="">
      <xdr:nvSpPr>
        <xdr:cNvPr id="5" name="CuadroTexto 4">
          <a:extLst>
            <a:ext uri="{FF2B5EF4-FFF2-40B4-BE49-F238E27FC236}">
              <a16:creationId xmlns:a16="http://schemas.microsoft.com/office/drawing/2014/main" id="{CF6DDB6A-34EA-482C-A6E1-997842D81D27}"/>
            </a:ext>
          </a:extLst>
        </xdr:cNvPr>
        <xdr:cNvSpPr txBox="1"/>
      </xdr:nvSpPr>
      <xdr:spPr>
        <a:xfrm>
          <a:off x="1524000" y="1228725"/>
          <a:ext cx="4267200" cy="1466850"/>
        </a:xfrm>
        <a:prstGeom prst="rect">
          <a:avLst/>
        </a:prstGeom>
        <a:solidFill>
          <a:schemeClr val="bg1">
            <a:lumMod val="95000"/>
          </a:schemeClr>
        </a:solidFill>
        <a:ln/>
      </xdr:spPr>
      <xdr:style>
        <a:lnRef idx="1">
          <a:schemeClr val="accent1"/>
        </a:lnRef>
        <a:fillRef idx="2">
          <a:schemeClr val="accent1"/>
        </a:fillRef>
        <a:effectRef idx="1">
          <a:schemeClr val="accent1"/>
        </a:effectRef>
        <a:fontRef idx="minor">
          <a:schemeClr val="dk1"/>
        </a:fontRef>
      </xdr:style>
      <xdr:txBody>
        <a:bodyPr vertOverflow="clip" horzOverflow="clip" wrap="square" rtlCol="0" anchor="t"/>
        <a:lstStyle/>
        <a:p>
          <a:r>
            <a:rPr lang="es-ES" sz="1100">
              <a:solidFill>
                <a:srgbClr val="002060"/>
              </a:solidFill>
              <a:latin typeface="Bahnschrift Light" panose="020B0502040204020203" pitchFamily="34" charset="0"/>
            </a:rPr>
            <a:t>Alvarez Arango, Alberto. Matemáticas Financieras. 3ª Edición. Mc Graw Hill. 2005.</a:t>
          </a:r>
          <a:br>
            <a:rPr lang="es-ES" sz="1100">
              <a:solidFill>
                <a:srgbClr val="002060"/>
              </a:solidFill>
              <a:latin typeface="Bahnschrift Light" panose="020B0502040204020203" pitchFamily="34" charset="0"/>
            </a:rPr>
          </a:br>
          <a:r>
            <a:rPr lang="es-ES" sz="1100">
              <a:solidFill>
                <a:srgbClr val="002060"/>
              </a:solidFill>
              <a:latin typeface="Bahnschrift Light" panose="020B0502040204020203" pitchFamily="34" charset="0"/>
            </a:rPr>
            <a:t>https://repository.usta.edu.co/bitstream/handle/11634/9941/anualidades_amortizacion_5dic.pdf?sequence=1&amp;isAllowed=y</a:t>
          </a:r>
          <a:br>
            <a:rPr lang="es-ES" sz="1100">
              <a:solidFill>
                <a:srgbClr val="002060"/>
              </a:solidFill>
              <a:latin typeface="Bahnschrift Light" panose="020B0502040204020203" pitchFamily="34" charset="0"/>
            </a:rPr>
          </a:br>
          <a:r>
            <a:rPr lang="es-ES" sz="1100">
              <a:solidFill>
                <a:srgbClr val="002060"/>
              </a:solidFill>
              <a:latin typeface="Bahnschrift Light" panose="020B0502040204020203" pitchFamily="34" charset="0"/>
            </a:rPr>
            <a:t>https://www.uv.mx/personal/cbustamante/files/2011/06/MATEMATICAS_FINANCIERAS.pdf</a:t>
          </a:r>
        </a:p>
        <a:p>
          <a:r>
            <a:rPr lang="es-ES" sz="1100">
              <a:solidFill>
                <a:srgbClr val="002060"/>
              </a:solidFill>
              <a:latin typeface="Bahnschrift Light" panose="020B0502040204020203" pitchFamily="34" charset="0"/>
            </a:rPr>
            <a:t>http://brd.unid.edu.mx/recursos/Algebra/Bloque6/Lecturas/4Amortizacion_y_fondos_de_amortizacion.pdf</a:t>
          </a:r>
        </a:p>
        <a:p>
          <a:endParaRPr lang="es-ES" sz="1100">
            <a:solidFill>
              <a:srgbClr val="002060"/>
            </a:solidFill>
            <a:latin typeface="+mn-lt"/>
          </a:endParaRPr>
        </a:p>
      </xdr:txBody>
    </xdr:sp>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3025C0-542C-491C-96E5-F3CF1EB4C415}">
  <sheetPr>
    <tabColor rgb="FFFF66CC"/>
  </sheetPr>
  <dimension ref="B2:L33"/>
  <sheetViews>
    <sheetView tabSelected="1" zoomScaleNormal="100" workbookViewId="0"/>
  </sheetViews>
  <sheetFormatPr baseColWidth="10" defaultRowHeight="14.25" x14ac:dyDescent="0.2"/>
  <cols>
    <col min="1" max="16384" width="11.42578125" style="1"/>
  </cols>
  <sheetData>
    <row r="2" spans="2:12" ht="19.5" x14ac:dyDescent="0.25">
      <c r="F2" s="119" t="s">
        <v>36</v>
      </c>
      <c r="G2" s="119"/>
      <c r="H2" s="119"/>
      <c r="I2" s="119"/>
      <c r="J2" s="119"/>
      <c r="K2" s="119"/>
    </row>
    <row r="3" spans="2:12" ht="19.5" x14ac:dyDescent="0.25">
      <c r="B3" s="2"/>
      <c r="F3" s="119" t="s">
        <v>37</v>
      </c>
      <c r="G3" s="119"/>
      <c r="H3" s="119"/>
      <c r="I3" s="119"/>
      <c r="J3" s="119"/>
      <c r="K3" s="119"/>
    </row>
    <row r="5" spans="2:12" ht="19.5" x14ac:dyDescent="0.25">
      <c r="F5" s="119" t="s">
        <v>38</v>
      </c>
      <c r="G5" s="119"/>
      <c r="H5" s="119"/>
      <c r="I5" s="119"/>
      <c r="J5" s="119"/>
      <c r="K5" s="119"/>
    </row>
    <row r="6" spans="2:12" ht="19.5" x14ac:dyDescent="0.25">
      <c r="F6" s="120" t="s">
        <v>39</v>
      </c>
      <c r="G6" s="119"/>
      <c r="H6" s="119"/>
      <c r="I6" s="119"/>
      <c r="J6" s="119"/>
      <c r="K6" s="119"/>
    </row>
    <row r="7" spans="2:12" ht="15" x14ac:dyDescent="0.25">
      <c r="L7" s="2"/>
    </row>
    <row r="8" spans="2:12" ht="19.5" x14ac:dyDescent="0.25">
      <c r="C8" s="2"/>
      <c r="F8" s="119" t="s">
        <v>40</v>
      </c>
      <c r="G8" s="119"/>
      <c r="H8" s="119"/>
      <c r="I8" s="119"/>
      <c r="J8" s="119"/>
      <c r="K8" s="119"/>
    </row>
    <row r="10" spans="2:12" ht="19.5" x14ac:dyDescent="0.25">
      <c r="F10" s="119" t="s">
        <v>41</v>
      </c>
      <c r="G10" s="119"/>
      <c r="H10" s="119"/>
      <c r="I10" s="119"/>
      <c r="J10" s="119"/>
      <c r="K10" s="119"/>
    </row>
    <row r="12" spans="2:12" ht="19.5" x14ac:dyDescent="0.25">
      <c r="F12" s="119" t="s">
        <v>42</v>
      </c>
      <c r="G12" s="119"/>
      <c r="H12" s="119"/>
      <c r="I12" s="119"/>
      <c r="J12" s="119"/>
      <c r="K12" s="119"/>
    </row>
    <row r="13" spans="2:12" ht="19.5" x14ac:dyDescent="0.25">
      <c r="F13" s="119" t="s">
        <v>43</v>
      </c>
      <c r="G13" s="119"/>
      <c r="H13" s="119"/>
      <c r="I13" s="119"/>
      <c r="J13" s="119"/>
      <c r="K13" s="119"/>
    </row>
    <row r="14" spans="2:12" ht="19.5" x14ac:dyDescent="0.25">
      <c r="F14" s="119" t="s">
        <v>44</v>
      </c>
      <c r="G14" s="119"/>
      <c r="H14" s="119"/>
      <c r="I14" s="119"/>
      <c r="J14" s="119"/>
      <c r="K14" s="119"/>
    </row>
    <row r="15" spans="2:12" ht="19.5" x14ac:dyDescent="0.25">
      <c r="F15" s="119" t="s">
        <v>45</v>
      </c>
      <c r="G15" s="119"/>
      <c r="H15" s="119"/>
      <c r="I15" s="119"/>
      <c r="J15" s="119"/>
      <c r="K15" s="119"/>
    </row>
    <row r="16" spans="2:12" ht="19.5" x14ac:dyDescent="0.25">
      <c r="F16" s="119" t="s">
        <v>46</v>
      </c>
      <c r="G16" s="119"/>
      <c r="H16" s="119"/>
      <c r="I16" s="119"/>
      <c r="J16" s="119"/>
      <c r="K16" s="119"/>
    </row>
    <row r="19" ht="13.5" customHeight="1" x14ac:dyDescent="0.2"/>
    <row r="20" ht="15" customHeight="1" x14ac:dyDescent="0.2"/>
    <row r="21" ht="15" customHeight="1" x14ac:dyDescent="0.2"/>
    <row r="22" ht="15" customHeight="1" x14ac:dyDescent="0.2"/>
    <row r="23" ht="15" customHeight="1" x14ac:dyDescent="0.2"/>
    <row r="24" ht="15" customHeight="1" x14ac:dyDescent="0.2"/>
    <row r="25" ht="15" customHeight="1" x14ac:dyDescent="0.2"/>
    <row r="26" ht="15" customHeight="1" x14ac:dyDescent="0.2"/>
    <row r="27" ht="15" customHeight="1" x14ac:dyDescent="0.2"/>
    <row r="28" ht="15" customHeight="1" x14ac:dyDescent="0.2"/>
    <row r="29" ht="15" customHeight="1" x14ac:dyDescent="0.2"/>
    <row r="30" ht="15" customHeight="1" x14ac:dyDescent="0.2"/>
    <row r="31" ht="15" customHeight="1" x14ac:dyDescent="0.2"/>
    <row r="32" ht="15" customHeight="1" x14ac:dyDescent="0.2"/>
    <row r="33" ht="15" customHeight="1" x14ac:dyDescent="0.2"/>
  </sheetData>
  <mergeCells count="11">
    <mergeCell ref="F2:K2"/>
    <mergeCell ref="F3:K3"/>
    <mergeCell ref="F5:K5"/>
    <mergeCell ref="F6:K6"/>
    <mergeCell ref="F8:K8"/>
    <mergeCell ref="F16:K16"/>
    <mergeCell ref="F10:K10"/>
    <mergeCell ref="F12:K12"/>
    <mergeCell ref="F13:K13"/>
    <mergeCell ref="F14:K14"/>
    <mergeCell ref="F15:K15"/>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1D12DD-24B5-4907-80E2-79885543FC79}">
  <sheetPr>
    <tabColor theme="7"/>
  </sheetPr>
  <dimension ref="A1:N24"/>
  <sheetViews>
    <sheetView zoomScaleNormal="100" workbookViewId="0"/>
  </sheetViews>
  <sheetFormatPr baseColWidth="10" defaultColWidth="11.42578125" defaultRowHeight="15" customHeight="1" x14ac:dyDescent="0.2"/>
  <cols>
    <col min="1" max="5" width="11.42578125" style="3" customWidth="1"/>
    <col min="6" max="9" width="11.42578125" style="3"/>
    <col min="10" max="12" width="11.42578125" style="3" customWidth="1"/>
    <col min="13" max="16384" width="11.42578125" style="3"/>
  </cols>
  <sheetData>
    <row r="1" spans="1:14" ht="36.75" x14ac:dyDescent="0.2">
      <c r="D1" s="139"/>
      <c r="E1" s="139"/>
      <c r="F1" s="139"/>
      <c r="G1" s="152" t="s">
        <v>48</v>
      </c>
      <c r="H1" s="152"/>
      <c r="I1" s="152"/>
      <c r="J1" s="152"/>
      <c r="K1" s="139"/>
    </row>
    <row r="2" spans="1:14" ht="15" customHeight="1" x14ac:dyDescent="0.2">
      <c r="A2" s="140"/>
      <c r="D2" s="139"/>
      <c r="E2" s="139"/>
      <c r="F2" s="139"/>
      <c r="G2" s="139"/>
      <c r="H2" s="139"/>
      <c r="I2" s="139"/>
      <c r="J2" s="139"/>
      <c r="K2" s="139"/>
    </row>
    <row r="3" spans="1:14" ht="15" customHeight="1" x14ac:dyDescent="0.2">
      <c r="A3" s="140"/>
    </row>
    <row r="4" spans="1:14" ht="15" customHeight="1" x14ac:dyDescent="0.2">
      <c r="A4" s="140"/>
      <c r="E4" s="141"/>
    </row>
    <row r="5" spans="1:14" ht="15" customHeight="1" x14ac:dyDescent="0.2">
      <c r="A5" s="140"/>
      <c r="C5" s="142"/>
      <c r="D5" s="142"/>
      <c r="E5" s="143"/>
      <c r="F5" s="142"/>
      <c r="G5" s="142"/>
      <c r="H5" s="142"/>
      <c r="I5" s="142"/>
      <c r="J5" s="143"/>
      <c r="K5" s="144"/>
      <c r="L5" s="144"/>
    </row>
    <row r="6" spans="1:14" ht="15" customHeight="1" x14ac:dyDescent="0.2">
      <c r="A6" s="140"/>
      <c r="C6" s="142"/>
      <c r="D6" s="142"/>
      <c r="E6" s="143"/>
      <c r="F6" s="142"/>
      <c r="G6" s="142"/>
      <c r="H6" s="142"/>
      <c r="I6" s="142"/>
      <c r="J6" s="143"/>
      <c r="K6" s="144"/>
      <c r="L6" s="144"/>
    </row>
    <row r="7" spans="1:14" ht="15" customHeight="1" x14ac:dyDescent="0.2">
      <c r="A7" s="140"/>
      <c r="C7" s="142"/>
      <c r="D7" s="142"/>
      <c r="E7" s="143"/>
      <c r="F7" s="142"/>
      <c r="G7" s="142"/>
      <c r="H7" s="142"/>
      <c r="I7" s="142"/>
      <c r="J7" s="143"/>
      <c r="K7" s="144"/>
      <c r="L7" s="144"/>
      <c r="M7" s="143"/>
      <c r="N7" s="143"/>
    </row>
    <row r="8" spans="1:14" ht="15" customHeight="1" x14ac:dyDescent="0.2">
      <c r="A8" s="140"/>
      <c r="C8" s="143"/>
      <c r="D8" s="143"/>
      <c r="E8" s="143"/>
      <c r="F8" s="143"/>
      <c r="G8" s="143"/>
      <c r="H8" s="143"/>
      <c r="I8" s="143"/>
      <c r="J8" s="143"/>
      <c r="K8" s="143"/>
      <c r="L8" s="143"/>
      <c r="M8" s="143"/>
      <c r="N8" s="143"/>
    </row>
    <row r="9" spans="1:14" ht="15" customHeight="1" x14ac:dyDescent="0.2">
      <c r="A9" s="140"/>
      <c r="C9" s="143"/>
      <c r="D9" s="143"/>
      <c r="E9" s="143"/>
      <c r="F9" s="143"/>
      <c r="G9" s="143"/>
      <c r="H9" s="143"/>
      <c r="I9" s="143"/>
      <c r="J9" s="143"/>
      <c r="K9" s="143"/>
      <c r="L9" s="143"/>
      <c r="M9" s="143"/>
      <c r="N9" s="143"/>
    </row>
    <row r="10" spans="1:14" ht="15" customHeight="1" x14ac:dyDescent="0.2">
      <c r="A10" s="140"/>
      <c r="C10" s="145"/>
      <c r="D10" s="145"/>
      <c r="E10" s="143"/>
      <c r="F10" s="146"/>
      <c r="G10" s="146"/>
      <c r="H10" s="146"/>
      <c r="I10" s="146"/>
      <c r="J10" s="143"/>
      <c r="K10" s="145"/>
      <c r="L10" s="145"/>
      <c r="M10" s="143"/>
      <c r="N10" s="143"/>
    </row>
    <row r="11" spans="1:14" ht="15" customHeight="1" x14ac:dyDescent="0.2">
      <c r="A11" s="140"/>
      <c r="C11" s="145"/>
      <c r="D11" s="145"/>
      <c r="E11" s="143"/>
      <c r="F11" s="146"/>
      <c r="G11" s="146"/>
      <c r="H11" s="146"/>
      <c r="I11" s="146"/>
      <c r="J11" s="143"/>
      <c r="K11" s="145"/>
      <c r="L11" s="145"/>
    </row>
    <row r="12" spans="1:14" ht="15" customHeight="1" x14ac:dyDescent="0.2">
      <c r="A12" s="140"/>
      <c r="C12" s="145"/>
      <c r="D12" s="145"/>
      <c r="E12" s="143"/>
      <c r="F12" s="146"/>
      <c r="G12" s="146"/>
      <c r="H12" s="146"/>
      <c r="I12" s="146"/>
      <c r="J12" s="143"/>
      <c r="K12" s="145"/>
      <c r="L12" s="145"/>
    </row>
    <row r="13" spans="1:14" ht="15" customHeight="1" x14ac:dyDescent="0.2">
      <c r="A13" s="140"/>
      <c r="C13" s="147"/>
      <c r="D13" s="147"/>
      <c r="F13" s="146"/>
      <c r="G13" s="146"/>
      <c r="H13" s="146"/>
      <c r="I13" s="146"/>
    </row>
    <row r="14" spans="1:14" ht="15" customHeight="1" x14ac:dyDescent="0.2">
      <c r="A14" s="140"/>
      <c r="C14" s="147"/>
      <c r="D14" s="147"/>
      <c r="F14" s="146"/>
      <c r="G14" s="146"/>
      <c r="H14" s="146"/>
      <c r="I14" s="146"/>
    </row>
    <row r="15" spans="1:14" ht="15" customHeight="1" x14ac:dyDescent="0.2">
      <c r="A15" s="140"/>
      <c r="C15" s="148"/>
      <c r="D15" s="148"/>
      <c r="K15" s="149"/>
    </row>
    <row r="16" spans="1:14" ht="15" customHeight="1" x14ac:dyDescent="0.2">
      <c r="A16" s="140"/>
      <c r="C16" s="148"/>
      <c r="D16" s="148"/>
    </row>
    <row r="17" spans="1:12" ht="15" customHeight="1" x14ac:dyDescent="0.2">
      <c r="A17" s="140"/>
      <c r="C17" s="150"/>
      <c r="D17" s="150"/>
      <c r="E17" s="150"/>
      <c r="F17" s="150"/>
      <c r="G17" s="150"/>
      <c r="I17" s="151"/>
      <c r="J17" s="151"/>
      <c r="K17" s="151"/>
      <c r="L17" s="151"/>
    </row>
    <row r="18" spans="1:12" ht="15" customHeight="1" x14ac:dyDescent="0.2">
      <c r="A18" s="140"/>
      <c r="C18" s="150"/>
      <c r="D18" s="150"/>
      <c r="E18" s="150"/>
      <c r="F18" s="150"/>
      <c r="G18" s="150"/>
      <c r="I18" s="151"/>
      <c r="J18" s="151"/>
      <c r="K18" s="151"/>
      <c r="L18" s="151"/>
    </row>
    <row r="19" spans="1:12" ht="15" customHeight="1" x14ac:dyDescent="0.2">
      <c r="A19" s="140"/>
      <c r="C19" s="150"/>
      <c r="D19" s="150"/>
      <c r="E19" s="150"/>
      <c r="F19" s="150"/>
      <c r="G19" s="150"/>
      <c r="I19" s="151"/>
      <c r="J19" s="151"/>
      <c r="K19" s="151"/>
      <c r="L19" s="151"/>
    </row>
    <row r="20" spans="1:12" ht="15" customHeight="1" x14ac:dyDescent="0.2">
      <c r="A20" s="140"/>
      <c r="C20" s="150"/>
      <c r="D20" s="150"/>
      <c r="E20" s="150"/>
      <c r="F20" s="150"/>
      <c r="G20" s="150"/>
      <c r="I20" s="151"/>
      <c r="J20" s="151"/>
      <c r="K20" s="151"/>
      <c r="L20" s="151"/>
    </row>
    <row r="21" spans="1:12" ht="15" customHeight="1" x14ac:dyDescent="0.2">
      <c r="A21" s="140"/>
    </row>
    <row r="22" spans="1:12" ht="15" customHeight="1" x14ac:dyDescent="0.2">
      <c r="A22" s="140"/>
    </row>
    <row r="23" spans="1:12" ht="15" customHeight="1" x14ac:dyDescent="0.2">
      <c r="A23" s="140"/>
    </row>
    <row r="24" spans="1:12" ht="15" customHeight="1" x14ac:dyDescent="0.2">
      <c r="A24" s="140"/>
    </row>
  </sheetData>
  <mergeCells count="6">
    <mergeCell ref="G1:J1"/>
    <mergeCell ref="K5:L7"/>
    <mergeCell ref="C17:G20"/>
    <mergeCell ref="I17:L20"/>
    <mergeCell ref="C10:D12"/>
    <mergeCell ref="K10:L12"/>
  </mergeCells>
  <pageMargins left="0.7" right="0.7"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E63C8BA-3D12-4E08-9DB5-EA6CBE4AEBFA}">
  <sheetPr>
    <tabColor rgb="FF99CC00"/>
  </sheetPr>
  <dimension ref="D1:Q19"/>
  <sheetViews>
    <sheetView zoomScaleNormal="100" workbookViewId="0"/>
  </sheetViews>
  <sheetFormatPr baseColWidth="10" defaultColWidth="11.42578125" defaultRowHeight="15" customHeight="1" x14ac:dyDescent="0.2"/>
  <cols>
    <col min="1" max="3" width="11.42578125" style="4"/>
    <col min="4" max="10" width="11.42578125" style="4" customWidth="1"/>
    <col min="11" max="11" width="12.85546875" style="4" bestFit="1" customWidth="1"/>
    <col min="12" max="21" width="11.42578125" style="4" customWidth="1"/>
    <col min="22" max="16384" width="11.42578125" style="4"/>
  </cols>
  <sheetData>
    <row r="1" spans="4:17" ht="15" customHeight="1" x14ac:dyDescent="0.2">
      <c r="D1" s="5"/>
      <c r="H1" s="6"/>
    </row>
    <row r="2" spans="4:17" ht="15" customHeight="1" x14ac:dyDescent="0.2">
      <c r="D2" s="5"/>
      <c r="F2" s="14"/>
      <c r="G2" s="14"/>
      <c r="H2" s="14"/>
      <c r="I2" s="14"/>
      <c r="J2" s="14"/>
      <c r="K2" s="14"/>
      <c r="L2" s="14"/>
      <c r="M2" s="14"/>
      <c r="N2" s="15"/>
      <c r="O2" s="15"/>
    </row>
    <row r="3" spans="4:17" ht="24" customHeight="1" x14ac:dyDescent="0.2">
      <c r="D3" s="5"/>
      <c r="F3" s="14"/>
      <c r="G3" s="153" t="s">
        <v>52</v>
      </c>
      <c r="H3" s="153"/>
      <c r="I3" s="153"/>
      <c r="J3" s="153"/>
      <c r="K3" s="14"/>
      <c r="L3" s="14"/>
      <c r="M3" s="16"/>
    </row>
    <row r="4" spans="4:17" ht="15" customHeight="1" x14ac:dyDescent="0.2">
      <c r="D4" s="5"/>
      <c r="F4" s="17"/>
      <c r="G4" s="17"/>
      <c r="H4" s="17"/>
      <c r="I4" s="17"/>
      <c r="J4" s="17"/>
      <c r="K4" s="17"/>
      <c r="L4" s="17"/>
      <c r="M4" s="17"/>
      <c r="N4" s="17"/>
      <c r="O4" s="14"/>
      <c r="P4" s="16"/>
      <c r="Q4" s="16"/>
    </row>
    <row r="5" spans="4:17" ht="15" customHeight="1" thickBot="1" x14ac:dyDescent="0.25">
      <c r="D5" s="5"/>
      <c r="F5" s="17"/>
      <c r="G5" s="17"/>
      <c r="H5" s="17"/>
      <c r="I5" s="17"/>
      <c r="J5" s="17"/>
      <c r="K5" s="17"/>
      <c r="L5" s="17"/>
      <c r="M5" s="17"/>
      <c r="N5" s="17"/>
      <c r="O5" s="16"/>
      <c r="P5" s="16"/>
      <c r="Q5" s="16"/>
    </row>
    <row r="6" spans="4:17" ht="21" thickTop="1" thickBot="1" x14ac:dyDescent="0.25">
      <c r="D6" s="5"/>
      <c r="F6" s="7" t="s">
        <v>49</v>
      </c>
      <c r="G6" s="18"/>
      <c r="H6" s="18"/>
      <c r="I6" s="18"/>
      <c r="J6" s="19"/>
      <c r="K6" s="20">
        <v>20000</v>
      </c>
      <c r="L6" s="21"/>
      <c r="M6" s="17"/>
      <c r="N6" s="17"/>
      <c r="O6" s="16"/>
      <c r="P6" s="16"/>
      <c r="Q6" s="16"/>
    </row>
    <row r="7" spans="4:17" ht="15" customHeight="1" thickTop="1" thickBot="1" x14ac:dyDescent="0.25">
      <c r="D7" s="5"/>
      <c r="F7" s="17"/>
      <c r="G7" s="19"/>
      <c r="H7" s="19"/>
      <c r="I7" s="19"/>
      <c r="J7" s="19"/>
      <c r="K7" s="22"/>
      <c r="L7" s="17"/>
      <c r="M7" s="17"/>
      <c r="N7" s="17"/>
      <c r="O7" s="14"/>
      <c r="P7" s="16"/>
      <c r="Q7" s="16"/>
    </row>
    <row r="8" spans="4:17" ht="21" thickTop="1" thickBot="1" x14ac:dyDescent="0.3">
      <c r="D8" s="5"/>
      <c r="F8" s="13" t="s">
        <v>50</v>
      </c>
      <c r="G8" s="23"/>
      <c r="H8" s="23"/>
      <c r="I8" s="23"/>
      <c r="J8" s="19"/>
      <c r="K8" s="24">
        <v>0.28000000000000003</v>
      </c>
      <c r="L8" s="21"/>
      <c r="M8" s="17"/>
      <c r="N8" s="17"/>
      <c r="O8" s="14"/>
    </row>
    <row r="9" spans="4:17" ht="15" customHeight="1" thickTop="1" thickBot="1" x14ac:dyDescent="0.25">
      <c r="D9" s="5"/>
      <c r="F9" s="17"/>
      <c r="G9" s="19"/>
      <c r="H9" s="19"/>
      <c r="I9" s="19"/>
      <c r="J9" s="19"/>
      <c r="K9" s="25"/>
      <c r="L9" s="17"/>
      <c r="M9" s="17"/>
      <c r="N9" s="17"/>
      <c r="O9" s="14"/>
    </row>
    <row r="10" spans="4:17" ht="21" thickTop="1" thickBot="1" x14ac:dyDescent="0.3">
      <c r="D10" s="5"/>
      <c r="F10" s="13" t="s">
        <v>51</v>
      </c>
      <c r="G10" s="26"/>
      <c r="H10" s="26"/>
      <c r="I10" s="26"/>
      <c r="J10" s="26"/>
      <c r="K10" s="27">
        <v>3</v>
      </c>
      <c r="L10" s="21"/>
      <c r="M10" s="5"/>
      <c r="N10" s="5"/>
    </row>
    <row r="11" spans="4:17" ht="15" customHeight="1" thickTop="1" x14ac:dyDescent="0.2">
      <c r="D11" s="5"/>
      <c r="F11" s="28"/>
      <c r="G11" s="28"/>
      <c r="H11" s="5"/>
      <c r="I11" s="17"/>
      <c r="J11" s="17"/>
      <c r="K11" s="21"/>
      <c r="L11" s="17"/>
      <c r="M11" s="5"/>
      <c r="N11" s="5"/>
    </row>
    <row r="12" spans="4:17" ht="15" customHeight="1" x14ac:dyDescent="0.2">
      <c r="D12" s="5"/>
      <c r="F12" s="8"/>
      <c r="G12" s="8"/>
      <c r="H12" s="5"/>
      <c r="I12" s="5"/>
      <c r="J12" s="5"/>
      <c r="K12" s="5"/>
      <c r="L12" s="5"/>
      <c r="M12" s="5"/>
      <c r="N12" s="9"/>
    </row>
    <row r="13" spans="4:17" ht="15" customHeight="1" x14ac:dyDescent="0.2">
      <c r="D13" s="5"/>
      <c r="F13" s="10"/>
      <c r="G13" s="10"/>
    </row>
    <row r="14" spans="4:17" ht="15" customHeight="1" x14ac:dyDescent="0.2">
      <c r="D14" s="5"/>
      <c r="F14" s="11"/>
      <c r="G14" s="11"/>
      <c r="H14" s="11"/>
      <c r="I14" s="11"/>
      <c r="J14" s="11"/>
      <c r="L14" s="11"/>
      <c r="M14" s="11"/>
      <c r="N14" s="11"/>
      <c r="O14" s="11"/>
    </row>
    <row r="15" spans="4:17" ht="15" customHeight="1" x14ac:dyDescent="0.2">
      <c r="D15" s="5"/>
      <c r="F15" s="11"/>
      <c r="G15" s="11"/>
      <c r="H15" s="11"/>
      <c r="I15" s="11"/>
      <c r="J15" s="11"/>
      <c r="L15" s="11"/>
      <c r="M15" s="11"/>
      <c r="N15" s="11"/>
      <c r="O15" s="11"/>
    </row>
    <row r="16" spans="4:17" ht="15" customHeight="1" x14ac:dyDescent="0.2">
      <c r="D16" s="5"/>
      <c r="F16" s="11"/>
      <c r="G16" s="11"/>
      <c r="H16" s="11"/>
      <c r="I16" s="11"/>
      <c r="J16" s="11"/>
      <c r="L16" s="11"/>
      <c r="M16" s="11"/>
      <c r="N16" s="11"/>
      <c r="O16" s="11"/>
    </row>
    <row r="17" spans="4:16" ht="15" customHeight="1" x14ac:dyDescent="0.2">
      <c r="D17" s="5"/>
      <c r="F17" s="11"/>
      <c r="G17" s="11"/>
      <c r="H17" s="11"/>
      <c r="I17" s="11"/>
      <c r="J17" s="11"/>
      <c r="L17" s="11"/>
      <c r="M17" s="11"/>
      <c r="N17" s="11"/>
      <c r="O17" s="11"/>
    </row>
    <row r="18" spans="4:16" ht="15" customHeight="1" x14ac:dyDescent="0.2">
      <c r="D18" s="5"/>
    </row>
    <row r="19" spans="4:16" ht="15" customHeight="1" x14ac:dyDescent="0.2">
      <c r="D19" s="5"/>
      <c r="P19" s="12"/>
    </row>
  </sheetData>
  <mergeCells count="1">
    <mergeCell ref="G3:J3"/>
  </mergeCells>
  <pageMargins left="0.7" right="0.7" top="0.75" bottom="0.75" header="0.3" footer="0.3"/>
  <pageSetup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A3D590D-DA92-4824-95B5-47F075053719}">
  <sheetPr>
    <tabColor rgb="FF009999"/>
  </sheetPr>
  <dimension ref="B1:M100"/>
  <sheetViews>
    <sheetView zoomScaleNormal="100" workbookViewId="0"/>
  </sheetViews>
  <sheetFormatPr baseColWidth="10" defaultColWidth="11.42578125" defaultRowHeight="15" customHeight="1" x14ac:dyDescent="0.2"/>
  <cols>
    <col min="1" max="3" width="11.42578125" style="29"/>
    <col min="4" max="4" width="22.140625" style="29" customWidth="1"/>
    <col min="5" max="5" width="9.5703125" style="29" customWidth="1"/>
    <col min="6" max="6" width="13.42578125" style="29" bestFit="1" customWidth="1"/>
    <col min="7" max="7" width="16.140625" style="29" bestFit="1" customWidth="1"/>
    <col min="8" max="8" width="15.5703125" style="29" bestFit="1" customWidth="1"/>
    <col min="9" max="9" width="9.42578125" style="29" customWidth="1"/>
    <col min="10" max="10" width="10.5703125" style="29" customWidth="1"/>
    <col min="11" max="11" width="14.42578125" style="29" customWidth="1"/>
    <col min="12" max="12" width="12.28515625" style="29" bestFit="1" customWidth="1"/>
    <col min="13" max="16384" width="11.42578125" style="29"/>
  </cols>
  <sheetData>
    <row r="1" spans="2:13" ht="19.5" x14ac:dyDescent="0.25">
      <c r="B1" s="30"/>
      <c r="C1" s="30"/>
      <c r="D1" s="126" t="s">
        <v>47</v>
      </c>
      <c r="E1" s="126"/>
      <c r="F1" s="126"/>
      <c r="G1" s="126"/>
      <c r="H1" s="126"/>
      <c r="I1" s="126"/>
      <c r="J1" s="126"/>
      <c r="K1" s="126"/>
      <c r="L1" s="126"/>
      <c r="M1" s="33"/>
    </row>
    <row r="2" spans="2:13" ht="15" customHeight="1" x14ac:dyDescent="0.2">
      <c r="B2" s="30"/>
      <c r="C2" s="30"/>
      <c r="D2" s="31"/>
      <c r="G2" s="30"/>
      <c r="H2" s="30"/>
    </row>
    <row r="3" spans="2:13" ht="15" customHeight="1" x14ac:dyDescent="0.2">
      <c r="B3" s="30"/>
      <c r="C3" s="30"/>
      <c r="D3" s="124" t="s">
        <v>0</v>
      </c>
      <c r="E3" s="125"/>
      <c r="F3" s="125"/>
      <c r="I3" s="124" t="s">
        <v>1</v>
      </c>
      <c r="J3" s="124"/>
      <c r="K3" s="124"/>
      <c r="L3" s="124"/>
    </row>
    <row r="4" spans="2:13" ht="15" customHeight="1" x14ac:dyDescent="0.2">
      <c r="B4" s="30"/>
      <c r="C4" s="30"/>
      <c r="D4" s="121" t="s">
        <v>2</v>
      </c>
      <c r="E4" s="122"/>
      <c r="F4" s="34">
        <f>Simulador!K6</f>
        <v>20000</v>
      </c>
      <c r="G4" s="30"/>
      <c r="H4" s="30"/>
      <c r="I4" s="121" t="s">
        <v>3</v>
      </c>
      <c r="J4" s="123"/>
      <c r="K4" s="122"/>
      <c r="L4" s="46">
        <f>F4/$L$5</f>
        <v>555.55555555555554</v>
      </c>
    </row>
    <row r="5" spans="2:13" ht="15" customHeight="1" x14ac:dyDescent="0.2">
      <c r="B5" s="30"/>
      <c r="C5" s="30"/>
      <c r="D5" s="121" t="s">
        <v>4</v>
      </c>
      <c r="E5" s="122"/>
      <c r="F5" s="35">
        <f>Simulador!K8</f>
        <v>0.28000000000000003</v>
      </c>
      <c r="G5" s="30"/>
      <c r="H5" s="30"/>
      <c r="I5" s="121" t="s">
        <v>5</v>
      </c>
      <c r="J5" s="123"/>
      <c r="K5" s="122"/>
      <c r="L5" s="45">
        <f>F7*12</f>
        <v>36</v>
      </c>
    </row>
    <row r="6" spans="2:13" ht="15" customHeight="1" x14ac:dyDescent="0.2">
      <c r="B6" s="30"/>
      <c r="C6" s="30"/>
      <c r="D6" s="121" t="s">
        <v>6</v>
      </c>
      <c r="E6" s="122"/>
      <c r="F6" s="36">
        <f>F5/12</f>
        <v>2.3333333333333334E-2</v>
      </c>
      <c r="G6" s="30"/>
      <c r="H6" s="30"/>
      <c r="I6" s="121" t="s">
        <v>7</v>
      </c>
      <c r="J6" s="123"/>
      <c r="K6" s="122"/>
      <c r="L6" s="46">
        <f>SUM(I11:I70)</f>
        <v>8633.3333333333412</v>
      </c>
    </row>
    <row r="7" spans="2:13" ht="15" customHeight="1" x14ac:dyDescent="0.2">
      <c r="B7" s="30"/>
      <c r="C7" s="30"/>
      <c r="D7" s="121" t="s">
        <v>8</v>
      </c>
      <c r="E7" s="122"/>
      <c r="F7" s="37">
        <f>Simulador!K10</f>
        <v>3</v>
      </c>
      <c r="G7" s="32"/>
      <c r="H7" s="30"/>
      <c r="I7" s="121" t="s">
        <v>9</v>
      </c>
      <c r="J7" s="123"/>
      <c r="K7" s="122"/>
      <c r="L7" s="46">
        <f>L6+F4</f>
        <v>28633.333333333343</v>
      </c>
    </row>
    <row r="8" spans="2:13" ht="15" customHeight="1" x14ac:dyDescent="0.2">
      <c r="B8" s="30"/>
      <c r="C8" s="30"/>
      <c r="D8" s="121" t="s">
        <v>10</v>
      </c>
      <c r="E8" s="122"/>
      <c r="F8" s="38">
        <v>44340</v>
      </c>
      <c r="G8" s="32"/>
      <c r="H8" s="30"/>
      <c r="I8" s="121" t="s">
        <v>11</v>
      </c>
      <c r="J8" s="123"/>
      <c r="K8" s="122"/>
      <c r="L8" s="38">
        <f>IFERROR(DATE(YEAR(Fecha),MONTH(Fecha)+L5,DAY(Fecha)),"")</f>
        <v>45436</v>
      </c>
    </row>
    <row r="9" spans="2:13" ht="15" customHeight="1" x14ac:dyDescent="0.2">
      <c r="B9" s="30"/>
      <c r="C9" s="30"/>
      <c r="D9" s="31"/>
      <c r="E9" s="32"/>
      <c r="F9" s="32"/>
      <c r="G9" s="32"/>
      <c r="H9" s="30"/>
    </row>
    <row r="10" spans="2:13" ht="15" customHeight="1" x14ac:dyDescent="0.2">
      <c r="B10" s="30"/>
      <c r="C10" s="30"/>
      <c r="E10" s="39" t="s">
        <v>12</v>
      </c>
      <c r="F10" s="39" t="s">
        <v>13</v>
      </c>
      <c r="G10" s="39" t="s">
        <v>14</v>
      </c>
      <c r="H10" s="39" t="s">
        <v>3</v>
      </c>
      <c r="I10" s="39" t="s">
        <v>15</v>
      </c>
      <c r="J10" s="39" t="s">
        <v>16</v>
      </c>
      <c r="K10" s="39" t="s">
        <v>17</v>
      </c>
    </row>
    <row r="11" spans="2:13" ht="15" customHeight="1" x14ac:dyDescent="0.2">
      <c r="B11" s="30"/>
      <c r="C11" s="30"/>
      <c r="E11" s="40">
        <f>IF(SUM(ROWS($E$11:E11))&gt;$L$5,"",SUM(ROWS($E$11:E11)))</f>
        <v>1</v>
      </c>
      <c r="F11" s="42">
        <f t="shared" ref="F11:F42" si="0">IFERROR(DATE(YEAR(Fecha),MONTH(Fecha)+E11,DAY(Fecha)),"")</f>
        <v>44371</v>
      </c>
      <c r="G11" s="43">
        <f>-IF(LEN(E11)&gt;0,IFERROR(FV(F5/12,E11-1,-$L$4,F4),""),"")</f>
        <v>20000</v>
      </c>
      <c r="H11" s="44">
        <f t="shared" ref="H11:H42" si="1">IF(LEN(E11)&gt;0,$L$4,"")</f>
        <v>555.55555555555554</v>
      </c>
      <c r="I11" s="43">
        <f t="shared" ref="I11:I42" si="2">IF(LEN(E11)&gt;0,G11*$F$6,"")</f>
        <v>466.66666666666669</v>
      </c>
      <c r="J11" s="43">
        <f t="shared" ref="J11:J42" si="3">IF(LEN(E11)&gt;0,H11+I11,"")</f>
        <v>1022.2222222222222</v>
      </c>
      <c r="K11" s="43">
        <f>IFERROR((G11-H11),"")</f>
        <v>19444.444444444445</v>
      </c>
    </row>
    <row r="12" spans="2:13" ht="15" customHeight="1" x14ac:dyDescent="0.2">
      <c r="B12" s="30"/>
      <c r="C12" s="30"/>
      <c r="E12" s="40">
        <f>IF(SUM(ROWS($E$11:E12))&gt;$L$5,"",SUM(ROWS($E$11:E12)))</f>
        <v>2</v>
      </c>
      <c r="F12" s="42">
        <f t="shared" si="0"/>
        <v>44401</v>
      </c>
      <c r="G12" s="43">
        <f t="shared" ref="G12:G43" si="4">IF(LEN(E12)&gt;0,IFERROR((K11),""),"")</f>
        <v>19444.444444444445</v>
      </c>
      <c r="H12" s="44">
        <f t="shared" si="1"/>
        <v>555.55555555555554</v>
      </c>
      <c r="I12" s="43">
        <f t="shared" si="2"/>
        <v>453.70370370370375</v>
      </c>
      <c r="J12" s="43">
        <f t="shared" si="3"/>
        <v>1009.2592592592594</v>
      </c>
      <c r="K12" s="43">
        <f t="shared" ref="K12:K64" si="5">IFERROR((G12-H12),"")</f>
        <v>18888.888888888891</v>
      </c>
    </row>
    <row r="13" spans="2:13" ht="15" customHeight="1" x14ac:dyDescent="0.2">
      <c r="E13" s="40">
        <f>IF(SUM(ROWS($E$11:E13))&gt;$L$5,"",SUM(ROWS($E$11:E13)))</f>
        <v>3</v>
      </c>
      <c r="F13" s="42">
        <f t="shared" si="0"/>
        <v>44432</v>
      </c>
      <c r="G13" s="43">
        <f t="shared" si="4"/>
        <v>18888.888888888891</v>
      </c>
      <c r="H13" s="44">
        <f t="shared" si="1"/>
        <v>555.55555555555554</v>
      </c>
      <c r="I13" s="43">
        <f t="shared" si="2"/>
        <v>440.74074074074082</v>
      </c>
      <c r="J13" s="43">
        <f t="shared" si="3"/>
        <v>996.2962962962963</v>
      </c>
      <c r="K13" s="43">
        <f t="shared" si="5"/>
        <v>18333.333333333336</v>
      </c>
    </row>
    <row r="14" spans="2:13" ht="15" customHeight="1" x14ac:dyDescent="0.2">
      <c r="E14" s="40">
        <f>IF(SUM(ROWS($E$11:E14))&gt;$L$5,"",SUM(ROWS($E$11:E14)))</f>
        <v>4</v>
      </c>
      <c r="F14" s="42">
        <f t="shared" si="0"/>
        <v>44463</v>
      </c>
      <c r="G14" s="43">
        <f t="shared" si="4"/>
        <v>18333.333333333336</v>
      </c>
      <c r="H14" s="44">
        <f t="shared" si="1"/>
        <v>555.55555555555554</v>
      </c>
      <c r="I14" s="43">
        <f t="shared" si="2"/>
        <v>427.77777777777783</v>
      </c>
      <c r="J14" s="43">
        <f t="shared" si="3"/>
        <v>983.33333333333337</v>
      </c>
      <c r="K14" s="43">
        <f t="shared" si="5"/>
        <v>17777.777777777781</v>
      </c>
    </row>
    <row r="15" spans="2:13" ht="15" customHeight="1" x14ac:dyDescent="0.2">
      <c r="E15" s="40">
        <f>IF(SUM(ROWS($E$11:E15))&gt;$L$5,"",SUM(ROWS($E$11:E15)))</f>
        <v>5</v>
      </c>
      <c r="F15" s="42">
        <f t="shared" si="0"/>
        <v>44493</v>
      </c>
      <c r="G15" s="43">
        <f t="shared" si="4"/>
        <v>17777.777777777781</v>
      </c>
      <c r="H15" s="44">
        <f t="shared" si="1"/>
        <v>555.55555555555554</v>
      </c>
      <c r="I15" s="43">
        <f t="shared" si="2"/>
        <v>414.81481481481489</v>
      </c>
      <c r="J15" s="43">
        <f t="shared" si="3"/>
        <v>970.37037037037044</v>
      </c>
      <c r="K15" s="43">
        <f t="shared" si="5"/>
        <v>17222.222222222226</v>
      </c>
    </row>
    <row r="16" spans="2:13" ht="15" customHeight="1" x14ac:dyDescent="0.2">
      <c r="E16" s="40">
        <f>IF(SUM(ROWS($E$11:E16))&gt;$L$5,"",SUM(ROWS($E$11:E16)))</f>
        <v>6</v>
      </c>
      <c r="F16" s="42">
        <f t="shared" si="0"/>
        <v>44524</v>
      </c>
      <c r="G16" s="43">
        <f t="shared" si="4"/>
        <v>17222.222222222226</v>
      </c>
      <c r="H16" s="44">
        <f t="shared" si="1"/>
        <v>555.55555555555554</v>
      </c>
      <c r="I16" s="43">
        <f t="shared" si="2"/>
        <v>401.85185185185196</v>
      </c>
      <c r="J16" s="43">
        <f t="shared" si="3"/>
        <v>957.4074074074075</v>
      </c>
      <c r="K16" s="43">
        <f t="shared" si="5"/>
        <v>16666.666666666672</v>
      </c>
    </row>
    <row r="17" spans="5:11" ht="15" customHeight="1" x14ac:dyDescent="0.2">
      <c r="E17" s="40">
        <f>IF(SUM(ROWS($E$11:E17))&gt;$L$5,"",SUM(ROWS($E$11:E17)))</f>
        <v>7</v>
      </c>
      <c r="F17" s="42">
        <f t="shared" si="0"/>
        <v>44554</v>
      </c>
      <c r="G17" s="43">
        <f t="shared" si="4"/>
        <v>16666.666666666672</v>
      </c>
      <c r="H17" s="44">
        <f t="shared" si="1"/>
        <v>555.55555555555554</v>
      </c>
      <c r="I17" s="43">
        <f t="shared" si="2"/>
        <v>388.88888888888903</v>
      </c>
      <c r="J17" s="43">
        <f t="shared" si="3"/>
        <v>944.44444444444457</v>
      </c>
      <c r="K17" s="43">
        <f t="shared" si="5"/>
        <v>16111.111111111117</v>
      </c>
    </row>
    <row r="18" spans="5:11" ht="15" customHeight="1" x14ac:dyDescent="0.2">
      <c r="E18" s="40">
        <f>IF(SUM(ROWS($E$11:E18))&gt;$L$5,"",SUM(ROWS($E$11:E18)))</f>
        <v>8</v>
      </c>
      <c r="F18" s="42">
        <f t="shared" si="0"/>
        <v>44585</v>
      </c>
      <c r="G18" s="43">
        <f t="shared" si="4"/>
        <v>16111.111111111117</v>
      </c>
      <c r="H18" s="44">
        <f t="shared" si="1"/>
        <v>555.55555555555554</v>
      </c>
      <c r="I18" s="43">
        <f t="shared" si="2"/>
        <v>375.92592592592609</v>
      </c>
      <c r="J18" s="43">
        <f t="shared" si="3"/>
        <v>931.48148148148164</v>
      </c>
      <c r="K18" s="43">
        <f t="shared" si="5"/>
        <v>15555.555555555562</v>
      </c>
    </row>
    <row r="19" spans="5:11" ht="15" customHeight="1" x14ac:dyDescent="0.2">
      <c r="E19" s="40">
        <f>IF(SUM(ROWS($E$11:E19))&gt;$L$5,"",SUM(ROWS($E$11:E19)))</f>
        <v>9</v>
      </c>
      <c r="F19" s="42">
        <f t="shared" si="0"/>
        <v>44616</v>
      </c>
      <c r="G19" s="43">
        <f t="shared" si="4"/>
        <v>15555.555555555562</v>
      </c>
      <c r="H19" s="44">
        <f t="shared" si="1"/>
        <v>555.55555555555554</v>
      </c>
      <c r="I19" s="43">
        <f t="shared" si="2"/>
        <v>362.9629629629631</v>
      </c>
      <c r="J19" s="43">
        <f t="shared" si="3"/>
        <v>918.5185185185187</v>
      </c>
      <c r="K19" s="43">
        <f t="shared" si="5"/>
        <v>15000.000000000007</v>
      </c>
    </row>
    <row r="20" spans="5:11" ht="15" customHeight="1" x14ac:dyDescent="0.2">
      <c r="E20" s="40">
        <f>IF(SUM(ROWS($E$11:E20))&gt;$L$5,"",SUM(ROWS($E$11:E20)))</f>
        <v>10</v>
      </c>
      <c r="F20" s="42">
        <f t="shared" si="0"/>
        <v>44644</v>
      </c>
      <c r="G20" s="43">
        <f t="shared" si="4"/>
        <v>15000.000000000007</v>
      </c>
      <c r="H20" s="44">
        <f t="shared" si="1"/>
        <v>555.55555555555554</v>
      </c>
      <c r="I20" s="43">
        <f t="shared" si="2"/>
        <v>350.00000000000017</v>
      </c>
      <c r="J20" s="43">
        <f t="shared" si="3"/>
        <v>905.55555555555566</v>
      </c>
      <c r="K20" s="43">
        <f t="shared" si="5"/>
        <v>14444.444444444453</v>
      </c>
    </row>
    <row r="21" spans="5:11" ht="15" customHeight="1" x14ac:dyDescent="0.2">
      <c r="E21" s="40">
        <f>IF(SUM(ROWS($E$11:E21))&gt;$L$5,"",SUM(ROWS($E$11:E21)))</f>
        <v>11</v>
      </c>
      <c r="F21" s="42">
        <f t="shared" si="0"/>
        <v>44675</v>
      </c>
      <c r="G21" s="43">
        <f t="shared" si="4"/>
        <v>14444.444444444453</v>
      </c>
      <c r="H21" s="44">
        <f t="shared" si="1"/>
        <v>555.55555555555554</v>
      </c>
      <c r="I21" s="43">
        <f t="shared" si="2"/>
        <v>337.03703703703724</v>
      </c>
      <c r="J21" s="43">
        <f t="shared" si="3"/>
        <v>892.59259259259284</v>
      </c>
      <c r="K21" s="43">
        <f t="shared" si="5"/>
        <v>13888.888888888898</v>
      </c>
    </row>
    <row r="22" spans="5:11" ht="15" customHeight="1" x14ac:dyDescent="0.2">
      <c r="E22" s="40">
        <f>IF(SUM(ROWS($E$11:E22))&gt;$L$5,"",SUM(ROWS($E$11:E22)))</f>
        <v>12</v>
      </c>
      <c r="F22" s="42">
        <f t="shared" si="0"/>
        <v>44705</v>
      </c>
      <c r="G22" s="43">
        <f t="shared" si="4"/>
        <v>13888.888888888898</v>
      </c>
      <c r="H22" s="44">
        <f t="shared" si="1"/>
        <v>555.55555555555554</v>
      </c>
      <c r="I22" s="43">
        <f t="shared" si="2"/>
        <v>324.0740740740743</v>
      </c>
      <c r="J22" s="43">
        <f t="shared" si="3"/>
        <v>879.62962962962979</v>
      </c>
      <c r="K22" s="43">
        <f t="shared" si="5"/>
        <v>13333.333333333343</v>
      </c>
    </row>
    <row r="23" spans="5:11" ht="15" customHeight="1" x14ac:dyDescent="0.2">
      <c r="E23" s="40">
        <f>IF(SUM(ROWS($E$11:E23))&gt;$L$5,"",SUM(ROWS($E$11:E23)))</f>
        <v>13</v>
      </c>
      <c r="F23" s="42">
        <f t="shared" si="0"/>
        <v>44736</v>
      </c>
      <c r="G23" s="43">
        <f t="shared" si="4"/>
        <v>13333.333333333343</v>
      </c>
      <c r="H23" s="44">
        <f t="shared" si="1"/>
        <v>555.55555555555554</v>
      </c>
      <c r="I23" s="43">
        <f t="shared" si="2"/>
        <v>311.11111111111137</v>
      </c>
      <c r="J23" s="43">
        <f t="shared" si="3"/>
        <v>866.66666666666697</v>
      </c>
      <c r="K23" s="43">
        <f t="shared" si="5"/>
        <v>12777.777777777788</v>
      </c>
    </row>
    <row r="24" spans="5:11" ht="15" customHeight="1" x14ac:dyDescent="0.2">
      <c r="E24" s="40">
        <f>IF(SUM(ROWS($E$11:E24))&gt;$L$5,"",SUM(ROWS($E$11:E24)))</f>
        <v>14</v>
      </c>
      <c r="F24" s="42">
        <f t="shared" si="0"/>
        <v>44766</v>
      </c>
      <c r="G24" s="43">
        <f t="shared" si="4"/>
        <v>12777.777777777788</v>
      </c>
      <c r="H24" s="44">
        <f t="shared" si="1"/>
        <v>555.55555555555554</v>
      </c>
      <c r="I24" s="43">
        <f t="shared" si="2"/>
        <v>298.14814814814838</v>
      </c>
      <c r="J24" s="43">
        <f t="shared" si="3"/>
        <v>853.70370370370392</v>
      </c>
      <c r="K24" s="43">
        <f t="shared" si="5"/>
        <v>12222.222222222234</v>
      </c>
    </row>
    <row r="25" spans="5:11" ht="15" customHeight="1" x14ac:dyDescent="0.2">
      <c r="E25" s="40">
        <f>IF(SUM(ROWS($E$11:E25))&gt;$L$5,"",SUM(ROWS($E$11:E25)))</f>
        <v>15</v>
      </c>
      <c r="F25" s="42">
        <f t="shared" si="0"/>
        <v>44797</v>
      </c>
      <c r="G25" s="43">
        <f t="shared" si="4"/>
        <v>12222.222222222234</v>
      </c>
      <c r="H25" s="44">
        <f t="shared" si="1"/>
        <v>555.55555555555554</v>
      </c>
      <c r="I25" s="43">
        <f t="shared" si="2"/>
        <v>285.18518518518545</v>
      </c>
      <c r="J25" s="43">
        <f t="shared" si="3"/>
        <v>840.74074074074099</v>
      </c>
      <c r="K25" s="43">
        <f t="shared" si="5"/>
        <v>11666.666666666679</v>
      </c>
    </row>
    <row r="26" spans="5:11" ht="15" customHeight="1" x14ac:dyDescent="0.2">
      <c r="E26" s="40">
        <f>IF(SUM(ROWS($E$11:E26))&gt;$L$5,"",SUM(ROWS($E$11:E26)))</f>
        <v>16</v>
      </c>
      <c r="F26" s="42">
        <f t="shared" si="0"/>
        <v>44828</v>
      </c>
      <c r="G26" s="43">
        <f t="shared" si="4"/>
        <v>11666.666666666679</v>
      </c>
      <c r="H26" s="44">
        <f t="shared" si="1"/>
        <v>555.55555555555554</v>
      </c>
      <c r="I26" s="43">
        <f t="shared" si="2"/>
        <v>272.22222222222251</v>
      </c>
      <c r="J26" s="43">
        <f t="shared" si="3"/>
        <v>827.77777777777806</v>
      </c>
      <c r="K26" s="43">
        <f t="shared" si="5"/>
        <v>11111.111111111124</v>
      </c>
    </row>
    <row r="27" spans="5:11" ht="15" customHeight="1" x14ac:dyDescent="0.2">
      <c r="E27" s="40">
        <f>IF(SUM(ROWS($E$11:E27))&gt;$L$5,"",SUM(ROWS($E$11:E27)))</f>
        <v>17</v>
      </c>
      <c r="F27" s="42">
        <f t="shared" si="0"/>
        <v>44858</v>
      </c>
      <c r="G27" s="43">
        <f t="shared" si="4"/>
        <v>11111.111111111124</v>
      </c>
      <c r="H27" s="44">
        <f t="shared" si="1"/>
        <v>555.55555555555554</v>
      </c>
      <c r="I27" s="43">
        <f t="shared" si="2"/>
        <v>259.25925925925958</v>
      </c>
      <c r="J27" s="43">
        <f t="shared" si="3"/>
        <v>814.81481481481512</v>
      </c>
      <c r="K27" s="43">
        <f t="shared" si="5"/>
        <v>10555.555555555569</v>
      </c>
    </row>
    <row r="28" spans="5:11" ht="15" customHeight="1" x14ac:dyDescent="0.2">
      <c r="E28" s="40">
        <f>IF(SUM(ROWS($E$11:E28))&gt;$L$5,"",SUM(ROWS($E$11:E28)))</f>
        <v>18</v>
      </c>
      <c r="F28" s="42">
        <f t="shared" si="0"/>
        <v>44889</v>
      </c>
      <c r="G28" s="43">
        <f t="shared" si="4"/>
        <v>10555.555555555569</v>
      </c>
      <c r="H28" s="44">
        <f t="shared" si="1"/>
        <v>555.55555555555554</v>
      </c>
      <c r="I28" s="43">
        <f t="shared" si="2"/>
        <v>246.29629629629662</v>
      </c>
      <c r="J28" s="43">
        <f t="shared" si="3"/>
        <v>801.85185185185219</v>
      </c>
      <c r="K28" s="43">
        <f t="shared" si="5"/>
        <v>10000.000000000015</v>
      </c>
    </row>
    <row r="29" spans="5:11" ht="15" customHeight="1" x14ac:dyDescent="0.2">
      <c r="E29" s="40">
        <f>IF(SUM(ROWS($E$11:E29))&gt;$L$5,"",SUM(ROWS($E$11:E29)))</f>
        <v>19</v>
      </c>
      <c r="F29" s="42">
        <f t="shared" si="0"/>
        <v>44919</v>
      </c>
      <c r="G29" s="43">
        <f t="shared" si="4"/>
        <v>10000.000000000015</v>
      </c>
      <c r="H29" s="44">
        <f t="shared" si="1"/>
        <v>555.55555555555554</v>
      </c>
      <c r="I29" s="43">
        <f t="shared" si="2"/>
        <v>233.33333333333368</v>
      </c>
      <c r="J29" s="43">
        <f t="shared" si="3"/>
        <v>788.88888888888926</v>
      </c>
      <c r="K29" s="43">
        <f t="shared" si="5"/>
        <v>9444.4444444444598</v>
      </c>
    </row>
    <row r="30" spans="5:11" ht="15" customHeight="1" x14ac:dyDescent="0.2">
      <c r="E30" s="40">
        <f>IF(SUM(ROWS($E$11:E30))&gt;$L$5,"",SUM(ROWS($E$11:E30)))</f>
        <v>20</v>
      </c>
      <c r="F30" s="42">
        <f t="shared" si="0"/>
        <v>44950</v>
      </c>
      <c r="G30" s="43">
        <f t="shared" si="4"/>
        <v>9444.4444444444598</v>
      </c>
      <c r="H30" s="44">
        <f t="shared" si="1"/>
        <v>555.55555555555554</v>
      </c>
      <c r="I30" s="43">
        <f t="shared" si="2"/>
        <v>220.37037037037075</v>
      </c>
      <c r="J30" s="43">
        <f t="shared" si="3"/>
        <v>775.92592592592632</v>
      </c>
      <c r="K30" s="43">
        <f t="shared" si="5"/>
        <v>8888.8888888889051</v>
      </c>
    </row>
    <row r="31" spans="5:11" ht="15" customHeight="1" x14ac:dyDescent="0.2">
      <c r="E31" s="40">
        <f>IF(SUM(ROWS($E$11:E31))&gt;$L$5,"",SUM(ROWS($E$11:E31)))</f>
        <v>21</v>
      </c>
      <c r="F31" s="42">
        <f t="shared" si="0"/>
        <v>44981</v>
      </c>
      <c r="G31" s="43">
        <f t="shared" si="4"/>
        <v>8888.8888888889051</v>
      </c>
      <c r="H31" s="44">
        <f t="shared" si="1"/>
        <v>555.55555555555554</v>
      </c>
      <c r="I31" s="43">
        <f t="shared" si="2"/>
        <v>207.40740740740779</v>
      </c>
      <c r="J31" s="43">
        <f t="shared" si="3"/>
        <v>762.96296296296327</v>
      </c>
      <c r="K31" s="43">
        <f t="shared" si="5"/>
        <v>8333.3333333333503</v>
      </c>
    </row>
    <row r="32" spans="5:11" ht="15" customHeight="1" x14ac:dyDescent="0.2">
      <c r="E32" s="40">
        <f>IF(SUM(ROWS($E$11:E32))&gt;$L$5,"",SUM(ROWS($E$11:E32)))</f>
        <v>22</v>
      </c>
      <c r="F32" s="42">
        <f t="shared" si="0"/>
        <v>45009</v>
      </c>
      <c r="G32" s="43">
        <f t="shared" si="4"/>
        <v>8333.3333333333503</v>
      </c>
      <c r="H32" s="44">
        <f t="shared" si="1"/>
        <v>555.55555555555554</v>
      </c>
      <c r="I32" s="43">
        <f t="shared" si="2"/>
        <v>194.44444444444485</v>
      </c>
      <c r="J32" s="43">
        <f t="shared" si="3"/>
        <v>750.00000000000045</v>
      </c>
      <c r="K32" s="43">
        <f t="shared" si="5"/>
        <v>7777.7777777777947</v>
      </c>
    </row>
    <row r="33" spans="5:11" ht="15" customHeight="1" x14ac:dyDescent="0.2">
      <c r="E33" s="40">
        <f>IF(SUM(ROWS($E$11:E33))&gt;$L$5,"",SUM(ROWS($E$11:E33)))</f>
        <v>23</v>
      </c>
      <c r="F33" s="42">
        <f t="shared" si="0"/>
        <v>45040</v>
      </c>
      <c r="G33" s="43">
        <f t="shared" si="4"/>
        <v>7777.7777777777947</v>
      </c>
      <c r="H33" s="44">
        <f t="shared" si="1"/>
        <v>555.55555555555554</v>
      </c>
      <c r="I33" s="43">
        <f t="shared" si="2"/>
        <v>181.48148148148189</v>
      </c>
      <c r="J33" s="43">
        <f t="shared" si="3"/>
        <v>737.03703703703741</v>
      </c>
      <c r="K33" s="43">
        <f t="shared" si="5"/>
        <v>7222.222222222239</v>
      </c>
    </row>
    <row r="34" spans="5:11" ht="15" customHeight="1" x14ac:dyDescent="0.2">
      <c r="E34" s="40">
        <f>IF(SUM(ROWS($E$11:E34))&gt;$L$5,"",SUM(ROWS($E$11:E34)))</f>
        <v>24</v>
      </c>
      <c r="F34" s="42">
        <f t="shared" si="0"/>
        <v>45070</v>
      </c>
      <c r="G34" s="43">
        <f t="shared" si="4"/>
        <v>7222.222222222239</v>
      </c>
      <c r="H34" s="44">
        <f t="shared" si="1"/>
        <v>555.55555555555554</v>
      </c>
      <c r="I34" s="43">
        <f t="shared" si="2"/>
        <v>168.51851851851893</v>
      </c>
      <c r="J34" s="43">
        <f t="shared" si="3"/>
        <v>724.07407407407447</v>
      </c>
      <c r="K34" s="43">
        <f t="shared" si="5"/>
        <v>6666.6666666666833</v>
      </c>
    </row>
    <row r="35" spans="5:11" ht="15" customHeight="1" x14ac:dyDescent="0.2">
      <c r="E35" s="40">
        <f>IF(SUM(ROWS($E$11:E35))&gt;$L$5,"",SUM(ROWS($E$11:E35)))</f>
        <v>25</v>
      </c>
      <c r="F35" s="42">
        <f t="shared" si="0"/>
        <v>45101</v>
      </c>
      <c r="G35" s="43">
        <f t="shared" si="4"/>
        <v>6666.6666666666833</v>
      </c>
      <c r="H35" s="44">
        <f t="shared" si="1"/>
        <v>555.55555555555554</v>
      </c>
      <c r="I35" s="43">
        <f t="shared" si="2"/>
        <v>155.55555555555594</v>
      </c>
      <c r="J35" s="43">
        <f t="shared" si="3"/>
        <v>711.11111111111154</v>
      </c>
      <c r="K35" s="43">
        <f t="shared" si="5"/>
        <v>6111.1111111111277</v>
      </c>
    </row>
    <row r="36" spans="5:11" ht="15" customHeight="1" x14ac:dyDescent="0.2">
      <c r="E36" s="40">
        <f>IF(SUM(ROWS($E$11:E36))&gt;$L$5,"",SUM(ROWS($E$11:E36)))</f>
        <v>26</v>
      </c>
      <c r="F36" s="42">
        <f t="shared" si="0"/>
        <v>45131</v>
      </c>
      <c r="G36" s="43">
        <f t="shared" si="4"/>
        <v>6111.1111111111277</v>
      </c>
      <c r="H36" s="44">
        <f t="shared" si="1"/>
        <v>555.55555555555554</v>
      </c>
      <c r="I36" s="43">
        <f t="shared" si="2"/>
        <v>142.59259259259298</v>
      </c>
      <c r="J36" s="43">
        <f t="shared" si="3"/>
        <v>698.14814814814849</v>
      </c>
      <c r="K36" s="43">
        <f t="shared" si="5"/>
        <v>5555.555555555572</v>
      </c>
    </row>
    <row r="37" spans="5:11" ht="15" customHeight="1" x14ac:dyDescent="0.2">
      <c r="E37" s="40">
        <f>IF(SUM(ROWS($E$11:E37))&gt;$L$5,"",SUM(ROWS($E$11:E37)))</f>
        <v>27</v>
      </c>
      <c r="F37" s="42">
        <f t="shared" si="0"/>
        <v>45162</v>
      </c>
      <c r="G37" s="43">
        <f t="shared" si="4"/>
        <v>5555.555555555572</v>
      </c>
      <c r="H37" s="44">
        <f t="shared" si="1"/>
        <v>555.55555555555554</v>
      </c>
      <c r="I37" s="43">
        <f t="shared" si="2"/>
        <v>129.62962962963002</v>
      </c>
      <c r="J37" s="43">
        <f t="shared" si="3"/>
        <v>685.18518518518556</v>
      </c>
      <c r="K37" s="43">
        <f t="shared" si="5"/>
        <v>5000.0000000000164</v>
      </c>
    </row>
    <row r="38" spans="5:11" ht="15" customHeight="1" x14ac:dyDescent="0.2">
      <c r="E38" s="40">
        <f>IF(SUM(ROWS($E$11:E38))&gt;$L$5,"",SUM(ROWS($E$11:E38)))</f>
        <v>28</v>
      </c>
      <c r="F38" s="42">
        <f t="shared" si="0"/>
        <v>45193</v>
      </c>
      <c r="G38" s="43">
        <f t="shared" si="4"/>
        <v>5000.0000000000164</v>
      </c>
      <c r="H38" s="44">
        <f t="shared" si="1"/>
        <v>555.55555555555554</v>
      </c>
      <c r="I38" s="43">
        <f t="shared" si="2"/>
        <v>116.66666666666706</v>
      </c>
      <c r="J38" s="43">
        <f t="shared" si="3"/>
        <v>672.22222222222263</v>
      </c>
      <c r="K38" s="43">
        <f t="shared" si="5"/>
        <v>4444.4444444444607</v>
      </c>
    </row>
    <row r="39" spans="5:11" ht="15" customHeight="1" x14ac:dyDescent="0.2">
      <c r="E39" s="40">
        <f>IF(SUM(ROWS($E$11:E39))&gt;$L$5,"",SUM(ROWS($E$11:E39)))</f>
        <v>29</v>
      </c>
      <c r="F39" s="42">
        <f t="shared" si="0"/>
        <v>45223</v>
      </c>
      <c r="G39" s="43">
        <f t="shared" si="4"/>
        <v>4444.4444444444607</v>
      </c>
      <c r="H39" s="44">
        <f t="shared" si="1"/>
        <v>555.55555555555554</v>
      </c>
      <c r="I39" s="43">
        <f t="shared" si="2"/>
        <v>103.70370370370409</v>
      </c>
      <c r="J39" s="43">
        <f t="shared" si="3"/>
        <v>659.25925925925958</v>
      </c>
      <c r="K39" s="43">
        <f t="shared" si="5"/>
        <v>3888.8888888889051</v>
      </c>
    </row>
    <row r="40" spans="5:11" ht="15" customHeight="1" x14ac:dyDescent="0.2">
      <c r="E40" s="40">
        <f>IF(SUM(ROWS($E$11:E40))&gt;$L$5,"",SUM(ROWS($E$11:E40)))</f>
        <v>30</v>
      </c>
      <c r="F40" s="42">
        <f t="shared" si="0"/>
        <v>45254</v>
      </c>
      <c r="G40" s="43">
        <f t="shared" si="4"/>
        <v>3888.8888888889051</v>
      </c>
      <c r="H40" s="44">
        <f t="shared" si="1"/>
        <v>555.55555555555554</v>
      </c>
      <c r="I40" s="43">
        <f t="shared" si="2"/>
        <v>90.740740740741117</v>
      </c>
      <c r="J40" s="43">
        <f t="shared" si="3"/>
        <v>646.29629629629665</v>
      </c>
      <c r="K40" s="43">
        <f t="shared" si="5"/>
        <v>3333.3333333333494</v>
      </c>
    </row>
    <row r="41" spans="5:11" ht="15" customHeight="1" x14ac:dyDescent="0.2">
      <c r="E41" s="40">
        <f>IF(SUM(ROWS($E$11:E41))&gt;$L$5,"",SUM(ROWS($E$11:E41)))</f>
        <v>31</v>
      </c>
      <c r="F41" s="42">
        <f t="shared" si="0"/>
        <v>45284</v>
      </c>
      <c r="G41" s="43">
        <f t="shared" si="4"/>
        <v>3333.3333333333494</v>
      </c>
      <c r="H41" s="44">
        <f t="shared" si="1"/>
        <v>555.55555555555554</v>
      </c>
      <c r="I41" s="43">
        <f t="shared" si="2"/>
        <v>77.777777777778155</v>
      </c>
      <c r="J41" s="43">
        <f t="shared" si="3"/>
        <v>633.33333333333371</v>
      </c>
      <c r="K41" s="43">
        <f t="shared" si="5"/>
        <v>2777.7777777777937</v>
      </c>
    </row>
    <row r="42" spans="5:11" ht="15" customHeight="1" x14ac:dyDescent="0.2">
      <c r="E42" s="40">
        <f>IF(SUM(ROWS($E$11:E42))&gt;$L$5,"",SUM(ROWS($E$11:E42)))</f>
        <v>32</v>
      </c>
      <c r="F42" s="42">
        <f t="shared" si="0"/>
        <v>45315</v>
      </c>
      <c r="G42" s="43">
        <f t="shared" si="4"/>
        <v>2777.7777777777937</v>
      </c>
      <c r="H42" s="44">
        <f t="shared" si="1"/>
        <v>555.55555555555554</v>
      </c>
      <c r="I42" s="43">
        <f t="shared" si="2"/>
        <v>64.814814814815193</v>
      </c>
      <c r="J42" s="43">
        <f t="shared" si="3"/>
        <v>620.37037037037078</v>
      </c>
      <c r="K42" s="43">
        <f t="shared" si="5"/>
        <v>2222.2222222222381</v>
      </c>
    </row>
    <row r="43" spans="5:11" ht="15" customHeight="1" x14ac:dyDescent="0.2">
      <c r="E43" s="40">
        <f>IF(SUM(ROWS($E$11:E43))&gt;$L$5,"",SUM(ROWS($E$11:E43)))</f>
        <v>33</v>
      </c>
      <c r="F43" s="42">
        <f t="shared" ref="F43:F74" si="6">IFERROR(DATE(YEAR(Fecha),MONTH(Fecha)+E43,DAY(Fecha)),"")</f>
        <v>45346</v>
      </c>
      <c r="G43" s="43">
        <f t="shared" si="4"/>
        <v>2222.2222222222381</v>
      </c>
      <c r="H43" s="44">
        <f t="shared" ref="H43:H78" si="7">IF(LEN(E43)&gt;0,$L$4,"")</f>
        <v>555.55555555555554</v>
      </c>
      <c r="I43" s="43">
        <f t="shared" ref="I43:I78" si="8">IF(LEN(E43)&gt;0,G43*$F$6,"")</f>
        <v>51.851851851852224</v>
      </c>
      <c r="J43" s="43">
        <f t="shared" ref="J43:J74" si="9">IF(LEN(E43)&gt;0,H43+I43,"")</f>
        <v>607.40740740740773</v>
      </c>
      <c r="K43" s="43">
        <f t="shared" si="5"/>
        <v>1666.6666666666824</v>
      </c>
    </row>
    <row r="44" spans="5:11" ht="15" customHeight="1" x14ac:dyDescent="0.2">
      <c r="E44" s="40">
        <f>IF(SUM(ROWS($E$11:E44))&gt;$L$5,"",SUM(ROWS($E$11:E44)))</f>
        <v>34</v>
      </c>
      <c r="F44" s="42">
        <f t="shared" si="6"/>
        <v>45375</v>
      </c>
      <c r="G44" s="43">
        <f t="shared" ref="G44:G78" si="10">IF(LEN(E44)&gt;0,IFERROR((K43),""),"")</f>
        <v>1666.6666666666824</v>
      </c>
      <c r="H44" s="44">
        <f t="shared" si="7"/>
        <v>555.55555555555554</v>
      </c>
      <c r="I44" s="43">
        <f t="shared" si="8"/>
        <v>38.888888888889255</v>
      </c>
      <c r="J44" s="43">
        <f t="shared" si="9"/>
        <v>594.4444444444448</v>
      </c>
      <c r="K44" s="43">
        <f t="shared" si="5"/>
        <v>1111.1111111111268</v>
      </c>
    </row>
    <row r="45" spans="5:11" ht="15" customHeight="1" x14ac:dyDescent="0.2">
      <c r="E45" s="40">
        <f>IF(SUM(ROWS($E$11:E45))&gt;$L$5,"",SUM(ROWS($E$11:E45)))</f>
        <v>35</v>
      </c>
      <c r="F45" s="42">
        <f t="shared" si="6"/>
        <v>45406</v>
      </c>
      <c r="G45" s="43">
        <f t="shared" si="10"/>
        <v>1111.1111111111268</v>
      </c>
      <c r="H45" s="44">
        <f t="shared" si="7"/>
        <v>555.55555555555554</v>
      </c>
      <c r="I45" s="43">
        <f t="shared" si="8"/>
        <v>25.925925925926293</v>
      </c>
      <c r="J45" s="43">
        <f t="shared" si="9"/>
        <v>581.48148148148186</v>
      </c>
      <c r="K45" s="43">
        <f t="shared" si="5"/>
        <v>555.55555555557123</v>
      </c>
    </row>
    <row r="46" spans="5:11" ht="15" customHeight="1" x14ac:dyDescent="0.2">
      <c r="E46" s="40">
        <f>IF(SUM(ROWS($E$11:E46))&gt;$L$5,"",SUM(ROWS($E$11:E46)))</f>
        <v>36</v>
      </c>
      <c r="F46" s="42">
        <f t="shared" si="6"/>
        <v>45436</v>
      </c>
      <c r="G46" s="43">
        <f t="shared" si="10"/>
        <v>555.55555555557123</v>
      </c>
      <c r="H46" s="44">
        <f t="shared" si="7"/>
        <v>555.55555555555554</v>
      </c>
      <c r="I46" s="43">
        <f t="shared" si="8"/>
        <v>12.96296296296333</v>
      </c>
      <c r="J46" s="43">
        <f t="shared" si="9"/>
        <v>568.51851851851882</v>
      </c>
      <c r="K46" s="43">
        <f t="shared" si="5"/>
        <v>1.5688783605583012E-11</v>
      </c>
    </row>
    <row r="47" spans="5:11" ht="15" customHeight="1" x14ac:dyDescent="0.2">
      <c r="E47" s="40" t="str">
        <f>IF(SUM(ROWS($E$11:E47))&gt;$L$5,"",SUM(ROWS($E$11:E47)))</f>
        <v/>
      </c>
      <c r="F47" s="42" t="str">
        <f t="shared" si="6"/>
        <v/>
      </c>
      <c r="G47" s="43" t="str">
        <f t="shared" si="10"/>
        <v/>
      </c>
      <c r="H47" s="44" t="str">
        <f t="shared" si="7"/>
        <v/>
      </c>
      <c r="I47" s="43" t="str">
        <f t="shared" si="8"/>
        <v/>
      </c>
      <c r="J47" s="43" t="str">
        <f t="shared" si="9"/>
        <v/>
      </c>
      <c r="K47" s="43" t="str">
        <f t="shared" si="5"/>
        <v/>
      </c>
    </row>
    <row r="48" spans="5:11" ht="15" customHeight="1" x14ac:dyDescent="0.2">
      <c r="E48" s="40" t="str">
        <f>IF(SUM(ROWS($E$11:E48))&gt;$L$5,"",SUM(ROWS($E$11:E48)))</f>
        <v/>
      </c>
      <c r="F48" s="42" t="str">
        <f t="shared" si="6"/>
        <v/>
      </c>
      <c r="G48" s="43" t="str">
        <f t="shared" si="10"/>
        <v/>
      </c>
      <c r="H48" s="44" t="str">
        <f t="shared" si="7"/>
        <v/>
      </c>
      <c r="I48" s="43" t="str">
        <f t="shared" si="8"/>
        <v/>
      </c>
      <c r="J48" s="43" t="str">
        <f t="shared" si="9"/>
        <v/>
      </c>
      <c r="K48" s="43" t="str">
        <f t="shared" si="5"/>
        <v/>
      </c>
    </row>
    <row r="49" spans="5:11" ht="15" customHeight="1" x14ac:dyDescent="0.2">
      <c r="E49" s="40" t="str">
        <f>IF(SUM(ROWS($E$11:E49))&gt;$L$5,"",SUM(ROWS($E$11:E49)))</f>
        <v/>
      </c>
      <c r="F49" s="42" t="str">
        <f t="shared" si="6"/>
        <v/>
      </c>
      <c r="G49" s="43" t="str">
        <f t="shared" si="10"/>
        <v/>
      </c>
      <c r="H49" s="44" t="str">
        <f t="shared" si="7"/>
        <v/>
      </c>
      <c r="I49" s="43" t="str">
        <f t="shared" si="8"/>
        <v/>
      </c>
      <c r="J49" s="43" t="str">
        <f t="shared" si="9"/>
        <v/>
      </c>
      <c r="K49" s="43" t="str">
        <f t="shared" si="5"/>
        <v/>
      </c>
    </row>
    <row r="50" spans="5:11" ht="15" customHeight="1" x14ac:dyDescent="0.2">
      <c r="E50" s="40" t="str">
        <f>IF(SUM(ROWS($E$11:E50))&gt;$L$5,"",SUM(ROWS($E$11:E50)))</f>
        <v/>
      </c>
      <c r="F50" s="42" t="str">
        <f t="shared" si="6"/>
        <v/>
      </c>
      <c r="G50" s="43" t="str">
        <f t="shared" si="10"/>
        <v/>
      </c>
      <c r="H50" s="44" t="str">
        <f t="shared" si="7"/>
        <v/>
      </c>
      <c r="I50" s="43" t="str">
        <f t="shared" si="8"/>
        <v/>
      </c>
      <c r="J50" s="43" t="str">
        <f t="shared" si="9"/>
        <v/>
      </c>
      <c r="K50" s="43" t="str">
        <f t="shared" si="5"/>
        <v/>
      </c>
    </row>
    <row r="51" spans="5:11" ht="15" customHeight="1" x14ac:dyDescent="0.2">
      <c r="E51" s="40" t="str">
        <f>IF(SUM(ROWS($E$11:E51))&gt;$L$5,"",SUM(ROWS($E$11:E51)))</f>
        <v/>
      </c>
      <c r="F51" s="42" t="str">
        <f t="shared" si="6"/>
        <v/>
      </c>
      <c r="G51" s="43" t="str">
        <f t="shared" si="10"/>
        <v/>
      </c>
      <c r="H51" s="44" t="str">
        <f t="shared" si="7"/>
        <v/>
      </c>
      <c r="I51" s="43" t="str">
        <f t="shared" si="8"/>
        <v/>
      </c>
      <c r="J51" s="43" t="str">
        <f t="shared" si="9"/>
        <v/>
      </c>
      <c r="K51" s="43" t="str">
        <f t="shared" si="5"/>
        <v/>
      </c>
    </row>
    <row r="52" spans="5:11" ht="15" customHeight="1" x14ac:dyDescent="0.2">
      <c r="E52" s="40" t="str">
        <f>IF(SUM(ROWS($E$11:E52))&gt;$L$5,"",SUM(ROWS($E$11:E52)))</f>
        <v/>
      </c>
      <c r="F52" s="42" t="str">
        <f t="shared" si="6"/>
        <v/>
      </c>
      <c r="G52" s="43" t="str">
        <f t="shared" si="10"/>
        <v/>
      </c>
      <c r="H52" s="44" t="str">
        <f t="shared" si="7"/>
        <v/>
      </c>
      <c r="I52" s="43" t="str">
        <f t="shared" si="8"/>
        <v/>
      </c>
      <c r="J52" s="43" t="str">
        <f t="shared" si="9"/>
        <v/>
      </c>
      <c r="K52" s="43" t="str">
        <f t="shared" si="5"/>
        <v/>
      </c>
    </row>
    <row r="53" spans="5:11" ht="15" customHeight="1" x14ac:dyDescent="0.2">
      <c r="E53" s="40" t="str">
        <f>IF(SUM(ROWS($E$11:E53))&gt;$L$5,"",SUM(ROWS($E$11:E53)))</f>
        <v/>
      </c>
      <c r="F53" s="42" t="str">
        <f t="shared" si="6"/>
        <v/>
      </c>
      <c r="G53" s="43" t="str">
        <f t="shared" si="10"/>
        <v/>
      </c>
      <c r="H53" s="44" t="str">
        <f t="shared" si="7"/>
        <v/>
      </c>
      <c r="I53" s="43" t="str">
        <f t="shared" si="8"/>
        <v/>
      </c>
      <c r="J53" s="43" t="str">
        <f t="shared" si="9"/>
        <v/>
      </c>
      <c r="K53" s="43" t="str">
        <f t="shared" si="5"/>
        <v/>
      </c>
    </row>
    <row r="54" spans="5:11" ht="15" customHeight="1" x14ac:dyDescent="0.2">
      <c r="E54" s="40" t="str">
        <f>IF(SUM(ROWS($E$11:E54))&gt;$L$5,"",SUM(ROWS($E$11:E54)))</f>
        <v/>
      </c>
      <c r="F54" s="42" t="str">
        <f t="shared" si="6"/>
        <v/>
      </c>
      <c r="G54" s="43" t="str">
        <f t="shared" si="10"/>
        <v/>
      </c>
      <c r="H54" s="44" t="str">
        <f t="shared" si="7"/>
        <v/>
      </c>
      <c r="I54" s="43" t="str">
        <f t="shared" si="8"/>
        <v/>
      </c>
      <c r="J54" s="43" t="str">
        <f t="shared" si="9"/>
        <v/>
      </c>
      <c r="K54" s="43" t="str">
        <f t="shared" si="5"/>
        <v/>
      </c>
    </row>
    <row r="55" spans="5:11" ht="15" customHeight="1" x14ac:dyDescent="0.2">
      <c r="E55" s="40" t="str">
        <f>IF(SUM(ROWS($E$11:E55))&gt;$L$5,"",SUM(ROWS($E$11:E55)))</f>
        <v/>
      </c>
      <c r="F55" s="42" t="str">
        <f t="shared" si="6"/>
        <v/>
      </c>
      <c r="G55" s="43" t="str">
        <f t="shared" si="10"/>
        <v/>
      </c>
      <c r="H55" s="44" t="str">
        <f t="shared" si="7"/>
        <v/>
      </c>
      <c r="I55" s="43" t="str">
        <f t="shared" si="8"/>
        <v/>
      </c>
      <c r="J55" s="43" t="str">
        <f t="shared" si="9"/>
        <v/>
      </c>
      <c r="K55" s="43" t="str">
        <f t="shared" si="5"/>
        <v/>
      </c>
    </row>
    <row r="56" spans="5:11" ht="15" customHeight="1" x14ac:dyDescent="0.2">
      <c r="E56" s="40" t="str">
        <f>IF(SUM(ROWS($E$11:E56))&gt;$L$5,"",SUM(ROWS($E$11:E56)))</f>
        <v/>
      </c>
      <c r="F56" s="42" t="str">
        <f t="shared" si="6"/>
        <v/>
      </c>
      <c r="G56" s="43" t="str">
        <f t="shared" si="10"/>
        <v/>
      </c>
      <c r="H56" s="44" t="str">
        <f t="shared" si="7"/>
        <v/>
      </c>
      <c r="I56" s="43" t="str">
        <f t="shared" si="8"/>
        <v/>
      </c>
      <c r="J56" s="43" t="str">
        <f t="shared" si="9"/>
        <v/>
      </c>
      <c r="K56" s="43" t="str">
        <f t="shared" si="5"/>
        <v/>
      </c>
    </row>
    <row r="57" spans="5:11" ht="15" customHeight="1" x14ac:dyDescent="0.2">
      <c r="E57" s="40" t="str">
        <f>IF(SUM(ROWS($E$11:E57))&gt;$L$5,"",SUM(ROWS($E$11:E57)))</f>
        <v/>
      </c>
      <c r="F57" s="42" t="str">
        <f t="shared" si="6"/>
        <v/>
      </c>
      <c r="G57" s="43" t="str">
        <f t="shared" si="10"/>
        <v/>
      </c>
      <c r="H57" s="44" t="str">
        <f t="shared" si="7"/>
        <v/>
      </c>
      <c r="I57" s="43" t="str">
        <f t="shared" si="8"/>
        <v/>
      </c>
      <c r="J57" s="43" t="str">
        <f t="shared" si="9"/>
        <v/>
      </c>
      <c r="K57" s="43" t="str">
        <f t="shared" si="5"/>
        <v/>
      </c>
    </row>
    <row r="58" spans="5:11" ht="15" customHeight="1" x14ac:dyDescent="0.2">
      <c r="E58" s="40" t="str">
        <f>IF(SUM(ROWS($E$11:E58))&gt;$L$5,"",SUM(ROWS($E$11:E58)))</f>
        <v/>
      </c>
      <c r="F58" s="42" t="str">
        <f t="shared" si="6"/>
        <v/>
      </c>
      <c r="G58" s="43" t="str">
        <f t="shared" si="10"/>
        <v/>
      </c>
      <c r="H58" s="44" t="str">
        <f t="shared" si="7"/>
        <v/>
      </c>
      <c r="I58" s="43" t="str">
        <f t="shared" si="8"/>
        <v/>
      </c>
      <c r="J58" s="43" t="str">
        <f t="shared" si="9"/>
        <v/>
      </c>
      <c r="K58" s="43" t="str">
        <f t="shared" si="5"/>
        <v/>
      </c>
    </row>
    <row r="59" spans="5:11" ht="15" customHeight="1" x14ac:dyDescent="0.2">
      <c r="E59" s="40" t="str">
        <f>IF(SUM(ROWS($E$11:E59))&gt;$L$5,"",SUM(ROWS($E$11:E59)))</f>
        <v/>
      </c>
      <c r="F59" s="42" t="str">
        <f t="shared" si="6"/>
        <v/>
      </c>
      <c r="G59" s="43" t="str">
        <f t="shared" si="10"/>
        <v/>
      </c>
      <c r="H59" s="44" t="str">
        <f t="shared" si="7"/>
        <v/>
      </c>
      <c r="I59" s="43" t="str">
        <f t="shared" si="8"/>
        <v/>
      </c>
      <c r="J59" s="43" t="str">
        <f t="shared" si="9"/>
        <v/>
      </c>
      <c r="K59" s="43" t="str">
        <f t="shared" si="5"/>
        <v/>
      </c>
    </row>
    <row r="60" spans="5:11" ht="15" customHeight="1" x14ac:dyDescent="0.2">
      <c r="E60" s="40" t="str">
        <f>IF(SUM(ROWS($E$11:E60))&gt;$L$5,"",SUM(ROWS($E$11:E60)))</f>
        <v/>
      </c>
      <c r="F60" s="42" t="str">
        <f t="shared" si="6"/>
        <v/>
      </c>
      <c r="G60" s="43" t="str">
        <f t="shared" si="10"/>
        <v/>
      </c>
      <c r="H60" s="44" t="str">
        <f t="shared" si="7"/>
        <v/>
      </c>
      <c r="I60" s="43" t="str">
        <f t="shared" si="8"/>
        <v/>
      </c>
      <c r="J60" s="43" t="str">
        <f t="shared" si="9"/>
        <v/>
      </c>
      <c r="K60" s="43" t="str">
        <f t="shared" si="5"/>
        <v/>
      </c>
    </row>
    <row r="61" spans="5:11" ht="15" customHeight="1" x14ac:dyDescent="0.2">
      <c r="E61" s="40" t="str">
        <f>IF(SUM(ROWS($E$11:E61))&gt;$L$5,"",SUM(ROWS($E$11:E61)))</f>
        <v/>
      </c>
      <c r="F61" s="42" t="str">
        <f t="shared" si="6"/>
        <v/>
      </c>
      <c r="G61" s="43" t="str">
        <f t="shared" si="10"/>
        <v/>
      </c>
      <c r="H61" s="44" t="str">
        <f t="shared" si="7"/>
        <v/>
      </c>
      <c r="I61" s="43" t="str">
        <f t="shared" si="8"/>
        <v/>
      </c>
      <c r="J61" s="43" t="str">
        <f t="shared" si="9"/>
        <v/>
      </c>
      <c r="K61" s="43" t="str">
        <f t="shared" si="5"/>
        <v/>
      </c>
    </row>
    <row r="62" spans="5:11" ht="15" customHeight="1" x14ac:dyDescent="0.2">
      <c r="E62" s="40" t="str">
        <f>IF(SUM(ROWS($E$11:E62))&gt;$L$5,"",SUM(ROWS($E$11:E62)))</f>
        <v/>
      </c>
      <c r="F62" s="42" t="str">
        <f t="shared" si="6"/>
        <v/>
      </c>
      <c r="G62" s="43" t="str">
        <f t="shared" si="10"/>
        <v/>
      </c>
      <c r="H62" s="44" t="str">
        <f t="shared" si="7"/>
        <v/>
      </c>
      <c r="I62" s="43" t="str">
        <f t="shared" si="8"/>
        <v/>
      </c>
      <c r="J62" s="43" t="str">
        <f t="shared" si="9"/>
        <v/>
      </c>
      <c r="K62" s="43" t="str">
        <f t="shared" si="5"/>
        <v/>
      </c>
    </row>
    <row r="63" spans="5:11" ht="15" customHeight="1" x14ac:dyDescent="0.2">
      <c r="E63" s="40" t="str">
        <f>IF(SUM(ROWS($E$11:E63))&gt;$L$5,"",SUM(ROWS($E$11:E63)))</f>
        <v/>
      </c>
      <c r="F63" s="42" t="str">
        <f t="shared" si="6"/>
        <v/>
      </c>
      <c r="G63" s="43" t="str">
        <f t="shared" si="10"/>
        <v/>
      </c>
      <c r="H63" s="44" t="str">
        <f t="shared" si="7"/>
        <v/>
      </c>
      <c r="I63" s="43" t="str">
        <f t="shared" si="8"/>
        <v/>
      </c>
      <c r="J63" s="43" t="str">
        <f t="shared" si="9"/>
        <v/>
      </c>
      <c r="K63" s="43" t="str">
        <f t="shared" si="5"/>
        <v/>
      </c>
    </row>
    <row r="64" spans="5:11" ht="15" customHeight="1" x14ac:dyDescent="0.2">
      <c r="E64" s="40" t="str">
        <f>IF(SUM(ROWS($E$11:E64))&gt;$L$5,"",SUM(ROWS($E$11:E64)))</f>
        <v/>
      </c>
      <c r="F64" s="42" t="str">
        <f t="shared" si="6"/>
        <v/>
      </c>
      <c r="G64" s="43" t="str">
        <f t="shared" si="10"/>
        <v/>
      </c>
      <c r="H64" s="44" t="str">
        <f t="shared" si="7"/>
        <v/>
      </c>
      <c r="I64" s="43" t="str">
        <f t="shared" si="8"/>
        <v/>
      </c>
      <c r="J64" s="43" t="str">
        <f t="shared" si="9"/>
        <v/>
      </c>
      <c r="K64" s="43" t="str">
        <f t="shared" si="5"/>
        <v/>
      </c>
    </row>
    <row r="65" spans="5:11" ht="15" customHeight="1" x14ac:dyDescent="0.2">
      <c r="E65" s="40" t="str">
        <f>IF(SUM(ROWS($E$11:E65))&gt;$L$5,"",SUM(ROWS($E$11:E65)))</f>
        <v/>
      </c>
      <c r="F65" s="42" t="str">
        <f t="shared" si="6"/>
        <v/>
      </c>
      <c r="G65" s="43" t="str">
        <f t="shared" si="10"/>
        <v/>
      </c>
      <c r="H65" s="44" t="str">
        <f t="shared" si="7"/>
        <v/>
      </c>
      <c r="I65" s="43" t="str">
        <f t="shared" si="8"/>
        <v/>
      </c>
      <c r="J65" s="43" t="str">
        <f t="shared" si="9"/>
        <v/>
      </c>
      <c r="K65" s="43" t="str">
        <f t="shared" ref="K65:K78" si="11">IFERROR((G65-H65),"")</f>
        <v/>
      </c>
    </row>
    <row r="66" spans="5:11" ht="15" customHeight="1" x14ac:dyDescent="0.2">
      <c r="E66" s="40" t="str">
        <f>IF(SUM(ROWS($E$11:E66))&gt;$L$5,"",SUM(ROWS($E$11:E66)))</f>
        <v/>
      </c>
      <c r="F66" s="42" t="str">
        <f t="shared" si="6"/>
        <v/>
      </c>
      <c r="G66" s="43" t="str">
        <f t="shared" si="10"/>
        <v/>
      </c>
      <c r="H66" s="44" t="str">
        <f t="shared" si="7"/>
        <v/>
      </c>
      <c r="I66" s="43" t="str">
        <f t="shared" si="8"/>
        <v/>
      </c>
      <c r="J66" s="43" t="str">
        <f t="shared" si="9"/>
        <v/>
      </c>
      <c r="K66" s="43" t="str">
        <f t="shared" si="11"/>
        <v/>
      </c>
    </row>
    <row r="67" spans="5:11" ht="15" customHeight="1" x14ac:dyDescent="0.2">
      <c r="E67" s="40" t="str">
        <f>IF(SUM(ROWS($E$11:E67))&gt;$L$5,"",SUM(ROWS($E$11:E67)))</f>
        <v/>
      </c>
      <c r="F67" s="42" t="str">
        <f t="shared" si="6"/>
        <v/>
      </c>
      <c r="G67" s="43" t="str">
        <f t="shared" si="10"/>
        <v/>
      </c>
      <c r="H67" s="44" t="str">
        <f t="shared" si="7"/>
        <v/>
      </c>
      <c r="I67" s="43" t="str">
        <f t="shared" si="8"/>
        <v/>
      </c>
      <c r="J67" s="43" t="str">
        <f t="shared" si="9"/>
        <v/>
      </c>
      <c r="K67" s="43" t="str">
        <f t="shared" si="11"/>
        <v/>
      </c>
    </row>
    <row r="68" spans="5:11" ht="15" customHeight="1" x14ac:dyDescent="0.2">
      <c r="E68" s="40" t="str">
        <f>IF(SUM(ROWS($E$11:E68))&gt;$L$5,"",SUM(ROWS($E$11:E68)))</f>
        <v/>
      </c>
      <c r="F68" s="42" t="str">
        <f t="shared" si="6"/>
        <v/>
      </c>
      <c r="G68" s="43" t="str">
        <f t="shared" si="10"/>
        <v/>
      </c>
      <c r="H68" s="44" t="str">
        <f t="shared" si="7"/>
        <v/>
      </c>
      <c r="I68" s="43" t="str">
        <f t="shared" si="8"/>
        <v/>
      </c>
      <c r="J68" s="43" t="str">
        <f t="shared" si="9"/>
        <v/>
      </c>
      <c r="K68" s="43" t="str">
        <f t="shared" si="11"/>
        <v/>
      </c>
    </row>
    <row r="69" spans="5:11" ht="15" customHeight="1" x14ac:dyDescent="0.2">
      <c r="E69" s="40" t="str">
        <f>IF(SUM(ROWS($E$11:E69))&gt;$L$5,"",SUM(ROWS($E$11:E69)))</f>
        <v/>
      </c>
      <c r="F69" s="42" t="str">
        <f t="shared" si="6"/>
        <v/>
      </c>
      <c r="G69" s="43" t="str">
        <f t="shared" si="10"/>
        <v/>
      </c>
      <c r="H69" s="44" t="str">
        <f t="shared" si="7"/>
        <v/>
      </c>
      <c r="I69" s="43" t="str">
        <f t="shared" si="8"/>
        <v/>
      </c>
      <c r="J69" s="43" t="str">
        <f t="shared" si="9"/>
        <v/>
      </c>
      <c r="K69" s="43" t="str">
        <f t="shared" si="11"/>
        <v/>
      </c>
    </row>
    <row r="70" spans="5:11" ht="15" customHeight="1" x14ac:dyDescent="0.2">
      <c r="E70" s="40" t="str">
        <f>IF(SUM(ROWS($E$11:E70))&gt;$L$5,"",SUM(ROWS($E$11:E70)))</f>
        <v/>
      </c>
      <c r="F70" s="42" t="str">
        <f t="shared" si="6"/>
        <v/>
      </c>
      <c r="G70" s="43" t="str">
        <f t="shared" si="10"/>
        <v/>
      </c>
      <c r="H70" s="44" t="str">
        <f t="shared" si="7"/>
        <v/>
      </c>
      <c r="I70" s="43" t="str">
        <f t="shared" si="8"/>
        <v/>
      </c>
      <c r="J70" s="43" t="str">
        <f t="shared" si="9"/>
        <v/>
      </c>
      <c r="K70" s="43" t="str">
        <f t="shared" si="11"/>
        <v/>
      </c>
    </row>
    <row r="71" spans="5:11" ht="15" customHeight="1" x14ac:dyDescent="0.2">
      <c r="E71" s="40" t="str">
        <f>IF(SUM(ROWS($E$11:E71))&gt;$L$5,"",SUM(ROWS($E$11:E71)))</f>
        <v/>
      </c>
      <c r="F71" s="42" t="str">
        <f t="shared" si="6"/>
        <v/>
      </c>
      <c r="G71" s="43" t="str">
        <f t="shared" si="10"/>
        <v/>
      </c>
      <c r="H71" s="44" t="str">
        <f t="shared" si="7"/>
        <v/>
      </c>
      <c r="I71" s="43" t="str">
        <f t="shared" si="8"/>
        <v/>
      </c>
      <c r="J71" s="43" t="str">
        <f t="shared" si="9"/>
        <v/>
      </c>
      <c r="K71" s="43" t="str">
        <f t="shared" si="11"/>
        <v/>
      </c>
    </row>
    <row r="72" spans="5:11" ht="15" customHeight="1" x14ac:dyDescent="0.2">
      <c r="E72" s="40" t="str">
        <f>IF(SUM(ROWS($E$11:E72))&gt;$L$5,"",SUM(ROWS($E$11:E72)))</f>
        <v/>
      </c>
      <c r="F72" s="42" t="str">
        <f t="shared" si="6"/>
        <v/>
      </c>
      <c r="G72" s="43" t="str">
        <f t="shared" si="10"/>
        <v/>
      </c>
      <c r="H72" s="44" t="str">
        <f t="shared" si="7"/>
        <v/>
      </c>
      <c r="I72" s="43" t="str">
        <f t="shared" si="8"/>
        <v/>
      </c>
      <c r="J72" s="43" t="str">
        <f t="shared" si="9"/>
        <v/>
      </c>
      <c r="K72" s="43" t="str">
        <f t="shared" si="11"/>
        <v/>
      </c>
    </row>
    <row r="73" spans="5:11" ht="15" customHeight="1" x14ac:dyDescent="0.2">
      <c r="E73" s="40" t="str">
        <f>IF(SUM(ROWS($E$11:E73))&gt;$L$5,"",SUM(ROWS($E$11:E73)))</f>
        <v/>
      </c>
      <c r="F73" s="42" t="str">
        <f t="shared" si="6"/>
        <v/>
      </c>
      <c r="G73" s="43" t="str">
        <f t="shared" si="10"/>
        <v/>
      </c>
      <c r="H73" s="44" t="str">
        <f t="shared" si="7"/>
        <v/>
      </c>
      <c r="I73" s="43" t="str">
        <f t="shared" si="8"/>
        <v/>
      </c>
      <c r="J73" s="43" t="str">
        <f t="shared" si="9"/>
        <v/>
      </c>
      <c r="K73" s="43" t="str">
        <f t="shared" si="11"/>
        <v/>
      </c>
    </row>
    <row r="74" spans="5:11" ht="15" customHeight="1" x14ac:dyDescent="0.2">
      <c r="E74" s="40" t="str">
        <f>IF(SUM(ROWS($E$11:E74))&gt;$L$5,"",SUM(ROWS($E$11:E74)))</f>
        <v/>
      </c>
      <c r="F74" s="42" t="str">
        <f t="shared" si="6"/>
        <v/>
      </c>
      <c r="G74" s="43" t="str">
        <f t="shared" si="10"/>
        <v/>
      </c>
      <c r="H74" s="44" t="str">
        <f t="shared" si="7"/>
        <v/>
      </c>
      <c r="I74" s="43" t="str">
        <f t="shared" si="8"/>
        <v/>
      </c>
      <c r="J74" s="43" t="str">
        <f t="shared" si="9"/>
        <v/>
      </c>
      <c r="K74" s="43" t="str">
        <f t="shared" si="11"/>
        <v/>
      </c>
    </row>
    <row r="75" spans="5:11" ht="15" customHeight="1" x14ac:dyDescent="0.2">
      <c r="E75" s="40" t="str">
        <f>IF(SUM(ROWS($E$11:E75))&gt;$L$5,"",SUM(ROWS($E$11:E75)))</f>
        <v/>
      </c>
      <c r="F75" s="42" t="str">
        <f t="shared" ref="F75:F78" si="12">IFERROR(DATE(YEAR(Fecha),MONTH(Fecha)+E75,DAY(Fecha)),"")</f>
        <v/>
      </c>
      <c r="G75" s="43" t="str">
        <f t="shared" si="10"/>
        <v/>
      </c>
      <c r="H75" s="44" t="str">
        <f t="shared" si="7"/>
        <v/>
      </c>
      <c r="I75" s="43" t="str">
        <f t="shared" si="8"/>
        <v/>
      </c>
      <c r="J75" s="43" t="str">
        <f t="shared" ref="J75:J78" si="13">IF(LEN(E75)&gt;0,H75+I75,"")</f>
        <v/>
      </c>
      <c r="K75" s="43" t="str">
        <f t="shared" si="11"/>
        <v/>
      </c>
    </row>
    <row r="76" spans="5:11" ht="15" customHeight="1" x14ac:dyDescent="0.2">
      <c r="E76" s="40" t="str">
        <f>IF(SUM(ROWS($E$11:E76))&gt;$L$5,"",SUM(ROWS($E$11:E76)))</f>
        <v/>
      </c>
      <c r="F76" s="42" t="str">
        <f t="shared" si="12"/>
        <v/>
      </c>
      <c r="G76" s="43" t="str">
        <f t="shared" si="10"/>
        <v/>
      </c>
      <c r="H76" s="44" t="str">
        <f t="shared" si="7"/>
        <v/>
      </c>
      <c r="I76" s="43" t="str">
        <f t="shared" si="8"/>
        <v/>
      </c>
      <c r="J76" s="43" t="str">
        <f t="shared" si="13"/>
        <v/>
      </c>
      <c r="K76" s="43" t="str">
        <f t="shared" si="11"/>
        <v/>
      </c>
    </row>
    <row r="77" spans="5:11" ht="15" customHeight="1" x14ac:dyDescent="0.2">
      <c r="E77" s="40" t="str">
        <f>IF(SUM(ROWS($E$11:E77))&gt;$L$5,"",SUM(ROWS($E$11:E77)))</f>
        <v/>
      </c>
      <c r="F77" s="42" t="str">
        <f t="shared" si="12"/>
        <v/>
      </c>
      <c r="G77" s="43" t="str">
        <f t="shared" si="10"/>
        <v/>
      </c>
      <c r="H77" s="44" t="str">
        <f t="shared" si="7"/>
        <v/>
      </c>
      <c r="I77" s="43" t="str">
        <f t="shared" si="8"/>
        <v/>
      </c>
      <c r="J77" s="43" t="str">
        <f t="shared" si="13"/>
        <v/>
      </c>
      <c r="K77" s="43" t="str">
        <f t="shared" si="11"/>
        <v/>
      </c>
    </row>
    <row r="78" spans="5:11" ht="15" customHeight="1" x14ac:dyDescent="0.2">
      <c r="E78" s="40" t="str">
        <f>IF(SUM(ROWS($E$11:E78))&gt;$L$5,"",SUM(ROWS($E$11:E78)))</f>
        <v/>
      </c>
      <c r="F78" s="42" t="str">
        <f t="shared" si="12"/>
        <v/>
      </c>
      <c r="G78" s="43" t="str">
        <f t="shared" si="10"/>
        <v/>
      </c>
      <c r="H78" s="44" t="str">
        <f t="shared" si="7"/>
        <v/>
      </c>
      <c r="I78" s="43" t="str">
        <f t="shared" si="8"/>
        <v/>
      </c>
      <c r="J78" s="43" t="str">
        <f t="shared" si="13"/>
        <v/>
      </c>
      <c r="K78" s="43" t="str">
        <f t="shared" si="11"/>
        <v/>
      </c>
    </row>
    <row r="79" spans="5:11" ht="15" customHeight="1" x14ac:dyDescent="0.2">
      <c r="E79" s="41"/>
      <c r="F79" s="45"/>
      <c r="G79" s="45"/>
      <c r="H79" s="45"/>
      <c r="I79" s="45"/>
      <c r="J79" s="45"/>
      <c r="K79" s="45"/>
    </row>
    <row r="80" spans="5:11" ht="15" customHeight="1" x14ac:dyDescent="0.2">
      <c r="E80" s="41"/>
      <c r="F80" s="45"/>
      <c r="G80" s="45"/>
      <c r="H80" s="45"/>
      <c r="I80" s="45"/>
      <c r="J80" s="45"/>
      <c r="K80" s="45"/>
    </row>
    <row r="81" spans="5:11" ht="15" customHeight="1" x14ac:dyDescent="0.2">
      <c r="E81" s="41"/>
      <c r="F81" s="45"/>
      <c r="G81" s="45"/>
      <c r="H81" s="45"/>
      <c r="I81" s="45"/>
      <c r="J81" s="45"/>
      <c r="K81" s="45"/>
    </row>
    <row r="82" spans="5:11" ht="15" customHeight="1" x14ac:dyDescent="0.2">
      <c r="E82" s="41"/>
      <c r="F82" s="45"/>
      <c r="G82" s="45"/>
      <c r="H82" s="45"/>
      <c r="I82" s="45"/>
      <c r="J82" s="45"/>
      <c r="K82" s="45"/>
    </row>
    <row r="83" spans="5:11" ht="15" customHeight="1" x14ac:dyDescent="0.2">
      <c r="E83" s="41"/>
      <c r="F83" s="45"/>
      <c r="G83" s="45"/>
      <c r="H83" s="45"/>
      <c r="I83" s="45"/>
      <c r="J83" s="45"/>
      <c r="K83" s="45"/>
    </row>
    <row r="84" spans="5:11" ht="15" customHeight="1" x14ac:dyDescent="0.2">
      <c r="E84" s="41"/>
      <c r="F84" s="45"/>
      <c r="G84" s="45"/>
      <c r="H84" s="45"/>
      <c r="I84" s="45"/>
      <c r="J84" s="45"/>
      <c r="K84" s="45"/>
    </row>
    <row r="85" spans="5:11" ht="15" customHeight="1" x14ac:dyDescent="0.2">
      <c r="E85" s="41"/>
      <c r="F85" s="45"/>
      <c r="G85" s="45"/>
      <c r="H85" s="45"/>
      <c r="I85" s="45"/>
      <c r="J85" s="45"/>
      <c r="K85" s="45"/>
    </row>
    <row r="86" spans="5:11" ht="15" customHeight="1" x14ac:dyDescent="0.2">
      <c r="E86" s="41"/>
      <c r="F86" s="45"/>
      <c r="G86" s="45"/>
      <c r="H86" s="45"/>
      <c r="I86" s="45"/>
      <c r="J86" s="45"/>
      <c r="K86" s="45"/>
    </row>
    <row r="87" spans="5:11" ht="15" customHeight="1" x14ac:dyDescent="0.2">
      <c r="E87" s="41"/>
      <c r="F87" s="45"/>
      <c r="G87" s="45"/>
      <c r="H87" s="45"/>
      <c r="I87" s="45"/>
      <c r="J87" s="45"/>
      <c r="K87" s="45"/>
    </row>
    <row r="88" spans="5:11" ht="15" customHeight="1" x14ac:dyDescent="0.2">
      <c r="E88" s="41"/>
      <c r="F88" s="45"/>
      <c r="G88" s="45"/>
      <c r="H88" s="45"/>
      <c r="I88" s="45"/>
      <c r="J88" s="45"/>
      <c r="K88" s="45"/>
    </row>
    <row r="89" spans="5:11" ht="15" customHeight="1" x14ac:dyDescent="0.2">
      <c r="E89" s="41"/>
      <c r="F89" s="45"/>
      <c r="G89" s="45"/>
      <c r="H89" s="45"/>
      <c r="I89" s="45"/>
      <c r="J89" s="45"/>
      <c r="K89" s="45"/>
    </row>
    <row r="90" spans="5:11" ht="15" customHeight="1" x14ac:dyDescent="0.2">
      <c r="E90" s="41"/>
      <c r="F90" s="45"/>
      <c r="G90" s="45"/>
      <c r="H90" s="45"/>
      <c r="I90" s="45"/>
      <c r="J90" s="45"/>
      <c r="K90" s="45"/>
    </row>
    <row r="91" spans="5:11" ht="15" customHeight="1" x14ac:dyDescent="0.2">
      <c r="E91" s="41"/>
      <c r="F91" s="45"/>
      <c r="G91" s="45"/>
      <c r="H91" s="45"/>
      <c r="I91" s="45"/>
      <c r="J91" s="45"/>
      <c r="K91" s="45"/>
    </row>
    <row r="92" spans="5:11" ht="15" customHeight="1" x14ac:dyDescent="0.2">
      <c r="E92" s="41"/>
      <c r="F92" s="45"/>
      <c r="G92" s="45"/>
      <c r="H92" s="45"/>
      <c r="I92" s="45"/>
      <c r="J92" s="45"/>
      <c r="K92" s="45"/>
    </row>
    <row r="93" spans="5:11" ht="15" customHeight="1" x14ac:dyDescent="0.2">
      <c r="E93" s="41"/>
      <c r="F93" s="45"/>
      <c r="G93" s="45"/>
      <c r="H93" s="45"/>
      <c r="I93" s="45"/>
      <c r="J93" s="45"/>
      <c r="K93" s="45"/>
    </row>
    <row r="94" spans="5:11" ht="15" customHeight="1" x14ac:dyDescent="0.2">
      <c r="E94" s="41"/>
      <c r="F94" s="45"/>
      <c r="G94" s="45"/>
      <c r="H94" s="45"/>
      <c r="I94" s="45"/>
      <c r="J94" s="45"/>
      <c r="K94" s="45"/>
    </row>
    <row r="95" spans="5:11" ht="15" customHeight="1" x14ac:dyDescent="0.2">
      <c r="E95" s="41"/>
      <c r="F95" s="45"/>
      <c r="G95" s="45"/>
      <c r="H95" s="45"/>
      <c r="I95" s="45"/>
      <c r="J95" s="45"/>
      <c r="K95" s="45"/>
    </row>
    <row r="96" spans="5:11" ht="15" customHeight="1" x14ac:dyDescent="0.2">
      <c r="E96" s="41"/>
      <c r="F96" s="45"/>
      <c r="G96" s="45"/>
      <c r="H96" s="45"/>
      <c r="I96" s="45"/>
      <c r="J96" s="45"/>
      <c r="K96" s="45"/>
    </row>
    <row r="97" spans="5:11" ht="15" customHeight="1" x14ac:dyDescent="0.2">
      <c r="E97" s="41"/>
      <c r="F97" s="45"/>
      <c r="G97" s="45"/>
      <c r="H97" s="45"/>
      <c r="I97" s="45"/>
      <c r="J97" s="45"/>
      <c r="K97" s="45"/>
    </row>
    <row r="98" spans="5:11" ht="15" customHeight="1" x14ac:dyDescent="0.2">
      <c r="E98" s="41"/>
      <c r="F98" s="45"/>
      <c r="G98" s="45"/>
      <c r="H98" s="45"/>
      <c r="I98" s="45"/>
      <c r="J98" s="45"/>
      <c r="K98" s="45"/>
    </row>
    <row r="99" spans="5:11" ht="15" customHeight="1" x14ac:dyDescent="0.2">
      <c r="E99" s="41"/>
      <c r="F99" s="45"/>
      <c r="G99" s="45"/>
      <c r="H99" s="45"/>
      <c r="I99" s="45"/>
      <c r="J99" s="45"/>
      <c r="K99" s="45"/>
    </row>
    <row r="100" spans="5:11" ht="15" customHeight="1" x14ac:dyDescent="0.2">
      <c r="E100" s="41"/>
      <c r="F100" s="45"/>
      <c r="G100" s="45"/>
      <c r="H100" s="45"/>
      <c r="I100" s="45"/>
      <c r="J100" s="45"/>
      <c r="K100" s="45"/>
    </row>
  </sheetData>
  <mergeCells count="13">
    <mergeCell ref="D3:F3"/>
    <mergeCell ref="I3:L3"/>
    <mergeCell ref="D4:E4"/>
    <mergeCell ref="D5:E5"/>
    <mergeCell ref="D1:L1"/>
    <mergeCell ref="D6:E6"/>
    <mergeCell ref="I5:K5"/>
    <mergeCell ref="I8:K8"/>
    <mergeCell ref="I4:K4"/>
    <mergeCell ref="I6:K6"/>
    <mergeCell ref="I7:K7"/>
    <mergeCell ref="D7:E7"/>
    <mergeCell ref="D8:E8"/>
  </mergeCells>
  <pageMargins left="0.7" right="0.7" top="0.75" bottom="0.75" header="0.3" footer="0.3"/>
  <drawing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EB1EF-76CF-4600-9814-98EC08DD037C}">
  <sheetPr>
    <tabColor rgb="FFFF0000"/>
  </sheetPr>
  <dimension ref="B1:M100"/>
  <sheetViews>
    <sheetView zoomScaleNormal="100" workbookViewId="0"/>
  </sheetViews>
  <sheetFormatPr baseColWidth="10" defaultColWidth="11.42578125" defaultRowHeight="15" customHeight="1" x14ac:dyDescent="0.2"/>
  <cols>
    <col min="1" max="3" width="11.42578125" style="47" customWidth="1"/>
    <col min="4" max="4" width="22.140625" style="47" customWidth="1"/>
    <col min="5" max="5" width="9.5703125" style="47" customWidth="1"/>
    <col min="6" max="6" width="13.42578125" style="47" bestFit="1" customWidth="1"/>
    <col min="7" max="7" width="16.140625" style="47" bestFit="1" customWidth="1"/>
    <col min="8" max="8" width="15.5703125" style="47" bestFit="1" customWidth="1"/>
    <col min="9" max="9" width="9.42578125" style="47" customWidth="1"/>
    <col min="10" max="10" width="10.5703125" style="47" customWidth="1"/>
    <col min="11" max="11" width="14.42578125" style="47" bestFit="1" customWidth="1"/>
    <col min="12" max="12" width="12.28515625" style="47" bestFit="1" customWidth="1"/>
    <col min="13" max="16384" width="11.42578125" style="47"/>
  </cols>
  <sheetData>
    <row r="1" spans="2:13" ht="19.5" x14ac:dyDescent="0.25">
      <c r="D1" s="127" t="s">
        <v>53</v>
      </c>
      <c r="E1" s="127"/>
      <c r="F1" s="127"/>
      <c r="G1" s="127"/>
      <c r="H1" s="127"/>
      <c r="I1" s="127"/>
      <c r="J1" s="127"/>
      <c r="K1" s="127"/>
      <c r="L1" s="127"/>
    </row>
    <row r="2" spans="2:13" ht="15" customHeight="1" x14ac:dyDescent="0.2">
      <c r="B2" s="48"/>
      <c r="C2" s="48"/>
      <c r="D2" s="49"/>
      <c r="G2" s="48"/>
      <c r="H2" s="48"/>
      <c r="J2" s="49"/>
    </row>
    <row r="3" spans="2:13" ht="15" customHeight="1" x14ac:dyDescent="0.2">
      <c r="B3" s="48"/>
      <c r="C3" s="48"/>
      <c r="D3" s="129" t="s">
        <v>0</v>
      </c>
      <c r="E3" s="130"/>
      <c r="F3" s="130"/>
      <c r="I3" s="129" t="s">
        <v>1</v>
      </c>
      <c r="J3" s="129"/>
      <c r="K3" s="129"/>
      <c r="L3" s="129"/>
    </row>
    <row r="4" spans="2:13" ht="15" customHeight="1" x14ac:dyDescent="0.2">
      <c r="B4" s="48"/>
      <c r="C4" s="48"/>
      <c r="D4" s="128" t="s">
        <v>2</v>
      </c>
      <c r="E4" s="128"/>
      <c r="F4" s="51">
        <f>Simulador!K6</f>
        <v>20000</v>
      </c>
      <c r="G4" s="48"/>
      <c r="H4" s="48"/>
      <c r="I4" s="128" t="s">
        <v>18</v>
      </c>
      <c r="J4" s="128"/>
      <c r="K4" s="128"/>
      <c r="L4" s="56">
        <f>-PMT(Tasa/12,$L$5,Importe)</f>
        <v>827.27175340459985</v>
      </c>
    </row>
    <row r="5" spans="2:13" ht="15" customHeight="1" x14ac:dyDescent="0.2">
      <c r="B5" s="48"/>
      <c r="C5" s="48"/>
      <c r="D5" s="128" t="s">
        <v>4</v>
      </c>
      <c r="E5" s="128"/>
      <c r="F5" s="52">
        <f>Simulador!K8</f>
        <v>0.28000000000000003</v>
      </c>
      <c r="G5" s="48"/>
      <c r="H5" s="48"/>
      <c r="I5" s="128" t="s">
        <v>5</v>
      </c>
      <c r="J5" s="128"/>
      <c r="K5" s="128"/>
      <c r="L5" s="57">
        <f>Periodo*12</f>
        <v>36</v>
      </c>
    </row>
    <row r="6" spans="2:13" ht="15" customHeight="1" x14ac:dyDescent="0.2">
      <c r="B6" s="48"/>
      <c r="C6" s="48"/>
      <c r="D6" s="128" t="s">
        <v>19</v>
      </c>
      <c r="E6" s="128"/>
      <c r="F6" s="53">
        <f>Tasa/12</f>
        <v>2.3333333333333334E-2</v>
      </c>
      <c r="G6" s="48"/>
      <c r="H6" s="48"/>
      <c r="I6" s="128" t="s">
        <v>7</v>
      </c>
      <c r="J6" s="128"/>
      <c r="K6" s="128"/>
      <c r="L6" s="56">
        <f>SUM(I11:I70)</f>
        <v>9781.7831225655991</v>
      </c>
    </row>
    <row r="7" spans="2:13" ht="15" customHeight="1" x14ac:dyDescent="0.2">
      <c r="B7" s="48"/>
      <c r="C7" s="48"/>
      <c r="D7" s="128" t="s">
        <v>8</v>
      </c>
      <c r="E7" s="128"/>
      <c r="F7" s="54">
        <f>Simulador!K10</f>
        <v>3</v>
      </c>
      <c r="G7" s="48"/>
      <c r="H7" s="48"/>
      <c r="I7" s="128" t="s">
        <v>9</v>
      </c>
      <c r="J7" s="128"/>
      <c r="K7" s="128"/>
      <c r="L7" s="56">
        <f>L6+Importe</f>
        <v>29781.783122565597</v>
      </c>
    </row>
    <row r="8" spans="2:13" ht="15" customHeight="1" x14ac:dyDescent="0.2">
      <c r="B8" s="48"/>
      <c r="C8" s="48"/>
      <c r="D8" s="128" t="s">
        <v>10</v>
      </c>
      <c r="E8" s="128"/>
      <c r="F8" s="55">
        <v>44340</v>
      </c>
      <c r="G8" s="48"/>
      <c r="H8" s="48"/>
      <c r="I8" s="128" t="s">
        <v>11</v>
      </c>
      <c r="J8" s="128"/>
      <c r="K8" s="128"/>
      <c r="L8" s="55">
        <f>IFERROR(DATE(YEAR(Fecha),MONTH(Fecha)+L5,DAY(Fecha)),"")</f>
        <v>45436</v>
      </c>
    </row>
    <row r="9" spans="2:13" ht="15" customHeight="1" x14ac:dyDescent="0.2">
      <c r="B9" s="48"/>
      <c r="C9" s="48"/>
      <c r="G9" s="48"/>
      <c r="H9" s="48"/>
    </row>
    <row r="10" spans="2:13" ht="15" customHeight="1" x14ac:dyDescent="0.2">
      <c r="B10" s="48"/>
      <c r="C10" s="48"/>
      <c r="E10" s="58" t="s">
        <v>12</v>
      </c>
      <c r="F10" s="58" t="s">
        <v>13</v>
      </c>
      <c r="G10" s="58" t="s">
        <v>14</v>
      </c>
      <c r="H10" s="58" t="s">
        <v>3</v>
      </c>
      <c r="I10" s="58" t="s">
        <v>15</v>
      </c>
      <c r="J10" s="58" t="s">
        <v>20</v>
      </c>
      <c r="K10" s="58" t="s">
        <v>17</v>
      </c>
    </row>
    <row r="11" spans="2:13" ht="15" customHeight="1" x14ac:dyDescent="0.2">
      <c r="B11" s="48"/>
      <c r="C11" s="48"/>
      <c r="D11" s="48"/>
      <c r="E11" s="59">
        <f>IF(SUM(ROWS($E$11:E11))&gt;$L$5,"",SUM(ROWS($E$11:E11)))</f>
        <v>1</v>
      </c>
      <c r="F11" s="61">
        <f t="shared" ref="F11:F42" si="0">IFERROR(DATE(YEAR(Fecha),MONTH(Fecha)+E11,DAY(Fecha)),"")</f>
        <v>44371</v>
      </c>
      <c r="G11" s="62">
        <f>-IF(LEN(E11)&gt;0,IFERROR(FV(F5/12,E11-1,-$L$4,F4),""),"")</f>
        <v>20000</v>
      </c>
      <c r="H11" s="62">
        <f t="shared" ref="H11:H42" si="1">IF(LEN(E11)&gt;0,J11-I11,"")</f>
        <v>360.60508673793316</v>
      </c>
      <c r="I11" s="62">
        <f t="shared" ref="I11:I42" si="2">IF(LEN(E11)&gt;0,G11*$F$6,"")</f>
        <v>466.66666666666669</v>
      </c>
      <c r="J11" s="63">
        <f t="shared" ref="J11:J42" si="3">IF(LEN(E11)&gt;0,$L$4,"")</f>
        <v>827.27175340459985</v>
      </c>
      <c r="K11" s="62">
        <f t="shared" ref="K11:K42" si="4">IFERROR((G11-H11),"")</f>
        <v>19639.394913262066</v>
      </c>
    </row>
    <row r="12" spans="2:13" ht="15" customHeight="1" x14ac:dyDescent="0.2">
      <c r="B12" s="48"/>
      <c r="C12" s="48"/>
      <c r="D12" s="48"/>
      <c r="E12" s="59">
        <f>IF(SUM(ROWS($E$11:E12))&gt;$L$5,"",SUM(ROWS($E$11:E12)))</f>
        <v>2</v>
      </c>
      <c r="F12" s="61">
        <f t="shared" si="0"/>
        <v>44401</v>
      </c>
      <c r="G12" s="62">
        <f t="shared" ref="G12:G43" si="5">IF(LEN(E12)&gt;0,IFERROR((K11),""),"")</f>
        <v>19639.394913262066</v>
      </c>
      <c r="H12" s="62">
        <f t="shared" si="1"/>
        <v>369.01920542848495</v>
      </c>
      <c r="I12" s="62">
        <f t="shared" si="2"/>
        <v>458.2525479761149</v>
      </c>
      <c r="J12" s="63">
        <f t="shared" si="3"/>
        <v>827.27175340459985</v>
      </c>
      <c r="K12" s="62">
        <f t="shared" si="4"/>
        <v>19270.37570783358</v>
      </c>
    </row>
    <row r="13" spans="2:13" ht="15" customHeight="1" x14ac:dyDescent="0.2">
      <c r="E13" s="59">
        <f>IF(SUM(ROWS($E$11:E13))&gt;$L$5,"",SUM(ROWS($E$11:E13)))</f>
        <v>3</v>
      </c>
      <c r="F13" s="61">
        <f t="shared" si="0"/>
        <v>44432</v>
      </c>
      <c r="G13" s="62">
        <f t="shared" si="5"/>
        <v>19270.37570783358</v>
      </c>
      <c r="H13" s="62">
        <f t="shared" si="1"/>
        <v>377.62965355514962</v>
      </c>
      <c r="I13" s="62">
        <f t="shared" si="2"/>
        <v>449.64209984945023</v>
      </c>
      <c r="J13" s="63">
        <f t="shared" si="3"/>
        <v>827.27175340459985</v>
      </c>
      <c r="K13" s="62">
        <f t="shared" si="4"/>
        <v>18892.746054278432</v>
      </c>
    </row>
    <row r="14" spans="2:13" ht="15" customHeight="1" x14ac:dyDescent="0.2">
      <c r="E14" s="59">
        <f>IF(SUM(ROWS($E$11:E14))&gt;$L$5,"",SUM(ROWS($E$11:E14)))</f>
        <v>4</v>
      </c>
      <c r="F14" s="61">
        <f t="shared" si="0"/>
        <v>44463</v>
      </c>
      <c r="G14" s="62">
        <f t="shared" si="5"/>
        <v>18892.746054278432</v>
      </c>
      <c r="H14" s="62">
        <f t="shared" si="1"/>
        <v>386.44101213810308</v>
      </c>
      <c r="I14" s="62">
        <f t="shared" si="2"/>
        <v>440.83074126649677</v>
      </c>
      <c r="J14" s="63">
        <f t="shared" si="3"/>
        <v>827.27175340459985</v>
      </c>
      <c r="K14" s="62">
        <f t="shared" si="4"/>
        <v>18506.305042140328</v>
      </c>
    </row>
    <row r="15" spans="2:13" ht="15" customHeight="1" x14ac:dyDescent="0.2">
      <c r="E15" s="59">
        <f>IF(SUM(ROWS($E$11:E15))&gt;$L$5,"",SUM(ROWS($E$11:E15)))</f>
        <v>5</v>
      </c>
      <c r="F15" s="61">
        <f t="shared" si="0"/>
        <v>44493</v>
      </c>
      <c r="G15" s="62">
        <f t="shared" si="5"/>
        <v>18506.305042140328</v>
      </c>
      <c r="H15" s="62">
        <f t="shared" si="1"/>
        <v>395.45796908799218</v>
      </c>
      <c r="I15" s="62">
        <f t="shared" si="2"/>
        <v>431.81378431660767</v>
      </c>
      <c r="J15" s="63">
        <f t="shared" si="3"/>
        <v>827.27175340459985</v>
      </c>
      <c r="K15" s="62">
        <f t="shared" si="4"/>
        <v>18110.847073052337</v>
      </c>
      <c r="M15" s="50"/>
    </row>
    <row r="16" spans="2:13" ht="15" customHeight="1" x14ac:dyDescent="0.2">
      <c r="E16" s="59">
        <f>IF(SUM(ROWS($E$11:E16))&gt;$L$5,"",SUM(ROWS($E$11:E16)))</f>
        <v>6</v>
      </c>
      <c r="F16" s="61">
        <f t="shared" si="0"/>
        <v>44524</v>
      </c>
      <c r="G16" s="62">
        <f t="shared" si="5"/>
        <v>18110.847073052337</v>
      </c>
      <c r="H16" s="62">
        <f t="shared" si="1"/>
        <v>404.68532170004528</v>
      </c>
      <c r="I16" s="62">
        <f t="shared" si="2"/>
        <v>422.58643170455457</v>
      </c>
      <c r="J16" s="63">
        <f t="shared" si="3"/>
        <v>827.27175340459985</v>
      </c>
      <c r="K16" s="62">
        <f t="shared" si="4"/>
        <v>17706.161751352291</v>
      </c>
    </row>
    <row r="17" spans="5:11" ht="15" customHeight="1" x14ac:dyDescent="0.2">
      <c r="E17" s="59">
        <f>IF(SUM(ROWS($E$11:E17))&gt;$L$5,"",SUM(ROWS($E$11:E17)))</f>
        <v>7</v>
      </c>
      <c r="F17" s="61">
        <f t="shared" si="0"/>
        <v>44554</v>
      </c>
      <c r="G17" s="62">
        <f t="shared" si="5"/>
        <v>17706.161751352291</v>
      </c>
      <c r="H17" s="62">
        <f t="shared" si="1"/>
        <v>414.12797920637973</v>
      </c>
      <c r="I17" s="62">
        <f t="shared" si="2"/>
        <v>413.14377419822011</v>
      </c>
      <c r="J17" s="63">
        <f t="shared" si="3"/>
        <v>827.27175340459985</v>
      </c>
      <c r="K17" s="62">
        <f t="shared" si="4"/>
        <v>17292.033772145911</v>
      </c>
    </row>
    <row r="18" spans="5:11" ht="15" customHeight="1" x14ac:dyDescent="0.2">
      <c r="E18" s="59">
        <f>IF(SUM(ROWS($E$11:E18))&gt;$L$5,"",SUM(ROWS($E$11:E18)))</f>
        <v>8</v>
      </c>
      <c r="F18" s="61">
        <f t="shared" si="0"/>
        <v>44585</v>
      </c>
      <c r="G18" s="62">
        <f t="shared" si="5"/>
        <v>17292.033772145911</v>
      </c>
      <c r="H18" s="62">
        <f t="shared" si="1"/>
        <v>423.79096538786189</v>
      </c>
      <c r="I18" s="62">
        <f t="shared" si="2"/>
        <v>403.48078801673796</v>
      </c>
      <c r="J18" s="63">
        <f t="shared" si="3"/>
        <v>827.27175340459985</v>
      </c>
      <c r="K18" s="62">
        <f t="shared" si="4"/>
        <v>16868.242806758048</v>
      </c>
    </row>
    <row r="19" spans="5:11" ht="15" customHeight="1" x14ac:dyDescent="0.2">
      <c r="E19" s="59">
        <f>IF(SUM(ROWS($E$11:E19))&gt;$L$5,"",SUM(ROWS($E$11:E19)))</f>
        <v>9</v>
      </c>
      <c r="F19" s="61">
        <f t="shared" si="0"/>
        <v>44616</v>
      </c>
      <c r="G19" s="62">
        <f t="shared" si="5"/>
        <v>16868.242806758048</v>
      </c>
      <c r="H19" s="62">
        <f t="shared" si="1"/>
        <v>433.67942124691206</v>
      </c>
      <c r="I19" s="62">
        <f t="shared" si="2"/>
        <v>393.59233215768779</v>
      </c>
      <c r="J19" s="63">
        <f t="shared" si="3"/>
        <v>827.27175340459985</v>
      </c>
      <c r="K19" s="62">
        <f t="shared" si="4"/>
        <v>16434.563385511137</v>
      </c>
    </row>
    <row r="20" spans="5:11" ht="15" customHeight="1" x14ac:dyDescent="0.2">
      <c r="E20" s="59">
        <f>IF(SUM(ROWS($E$11:E20))&gt;$L$5,"",SUM(ROWS($E$11:E20)))</f>
        <v>10</v>
      </c>
      <c r="F20" s="61">
        <f t="shared" si="0"/>
        <v>44644</v>
      </c>
      <c r="G20" s="62">
        <f t="shared" si="5"/>
        <v>16434.563385511137</v>
      </c>
      <c r="H20" s="62">
        <f t="shared" si="1"/>
        <v>443.79860774267331</v>
      </c>
      <c r="I20" s="62">
        <f t="shared" si="2"/>
        <v>383.47314566192654</v>
      </c>
      <c r="J20" s="63">
        <f t="shared" si="3"/>
        <v>827.27175340459985</v>
      </c>
      <c r="K20" s="62">
        <f t="shared" si="4"/>
        <v>15990.764777768463</v>
      </c>
    </row>
    <row r="21" spans="5:11" ht="15" customHeight="1" x14ac:dyDescent="0.2">
      <c r="E21" s="59">
        <f>IF(SUM(ROWS($E$11:E21))&gt;$L$5,"",SUM(ROWS($E$11:E21)))</f>
        <v>11</v>
      </c>
      <c r="F21" s="61">
        <f t="shared" si="0"/>
        <v>44675</v>
      </c>
      <c r="G21" s="62">
        <f t="shared" si="5"/>
        <v>15990.764777768463</v>
      </c>
      <c r="H21" s="62">
        <f t="shared" si="1"/>
        <v>454.15390859000235</v>
      </c>
      <c r="I21" s="62">
        <f t="shared" si="2"/>
        <v>373.1178448145975</v>
      </c>
      <c r="J21" s="63">
        <f t="shared" si="3"/>
        <v>827.27175340459985</v>
      </c>
      <c r="K21" s="62">
        <f t="shared" si="4"/>
        <v>15536.610869178461</v>
      </c>
    </row>
    <row r="22" spans="5:11" ht="15" customHeight="1" x14ac:dyDescent="0.2">
      <c r="E22" s="59">
        <f>IF(SUM(ROWS($E$11:E22))&gt;$L$5,"",SUM(ROWS($E$11:E22)))</f>
        <v>12</v>
      </c>
      <c r="F22" s="61">
        <f t="shared" si="0"/>
        <v>44705</v>
      </c>
      <c r="G22" s="62">
        <f t="shared" si="5"/>
        <v>15536.610869178461</v>
      </c>
      <c r="H22" s="62">
        <f t="shared" si="1"/>
        <v>464.7508331237691</v>
      </c>
      <c r="I22" s="62">
        <f t="shared" si="2"/>
        <v>362.52092028083075</v>
      </c>
      <c r="J22" s="63">
        <f t="shared" si="3"/>
        <v>827.27175340459985</v>
      </c>
      <c r="K22" s="62">
        <f t="shared" si="4"/>
        <v>15071.860036054692</v>
      </c>
    </row>
    <row r="23" spans="5:11" ht="15" customHeight="1" x14ac:dyDescent="0.2">
      <c r="E23" s="59">
        <f>IF(SUM(ROWS($E$11:E23))&gt;$L$5,"",SUM(ROWS($E$11:E23)))</f>
        <v>13</v>
      </c>
      <c r="F23" s="61">
        <f t="shared" si="0"/>
        <v>44736</v>
      </c>
      <c r="G23" s="62">
        <f t="shared" si="5"/>
        <v>15071.860036054692</v>
      </c>
      <c r="H23" s="62">
        <f t="shared" si="1"/>
        <v>475.59501922999038</v>
      </c>
      <c r="I23" s="62">
        <f t="shared" si="2"/>
        <v>351.67673417460946</v>
      </c>
      <c r="J23" s="63">
        <f t="shared" si="3"/>
        <v>827.27175340459985</v>
      </c>
      <c r="K23" s="62">
        <f t="shared" si="4"/>
        <v>14596.265016824702</v>
      </c>
    </row>
    <row r="24" spans="5:11" ht="15" customHeight="1" x14ac:dyDescent="0.2">
      <c r="E24" s="59">
        <f>IF(SUM(ROWS($E$11:E24))&gt;$L$5,"",SUM(ROWS($E$11:E24)))</f>
        <v>14</v>
      </c>
      <c r="F24" s="61">
        <f t="shared" si="0"/>
        <v>44766</v>
      </c>
      <c r="G24" s="62">
        <f t="shared" si="5"/>
        <v>14596.265016824702</v>
      </c>
      <c r="H24" s="62">
        <f t="shared" si="1"/>
        <v>486.69223634535678</v>
      </c>
      <c r="I24" s="62">
        <f t="shared" si="2"/>
        <v>340.57951705924307</v>
      </c>
      <c r="J24" s="63">
        <f t="shared" si="3"/>
        <v>827.27175340459985</v>
      </c>
      <c r="K24" s="62">
        <f t="shared" si="4"/>
        <v>14109.572780479346</v>
      </c>
    </row>
    <row r="25" spans="5:11" ht="15" customHeight="1" x14ac:dyDescent="0.2">
      <c r="E25" s="59">
        <f>IF(SUM(ROWS($E$11:E25))&gt;$L$5,"",SUM(ROWS($E$11:E25)))</f>
        <v>15</v>
      </c>
      <c r="F25" s="61">
        <f t="shared" si="0"/>
        <v>44797</v>
      </c>
      <c r="G25" s="62">
        <f t="shared" si="5"/>
        <v>14109.572780479346</v>
      </c>
      <c r="H25" s="62">
        <f t="shared" si="1"/>
        <v>498.04838852674845</v>
      </c>
      <c r="I25" s="62">
        <f t="shared" si="2"/>
        <v>329.2233648778514</v>
      </c>
      <c r="J25" s="63">
        <f t="shared" si="3"/>
        <v>827.27175340459985</v>
      </c>
      <c r="K25" s="62">
        <f t="shared" si="4"/>
        <v>13611.524391952598</v>
      </c>
    </row>
    <row r="26" spans="5:11" ht="15" customHeight="1" x14ac:dyDescent="0.2">
      <c r="E26" s="59">
        <f>IF(SUM(ROWS($E$11:E26))&gt;$L$5,"",SUM(ROWS($E$11:E26)))</f>
        <v>16</v>
      </c>
      <c r="F26" s="61">
        <f t="shared" si="0"/>
        <v>44828</v>
      </c>
      <c r="G26" s="62">
        <f t="shared" si="5"/>
        <v>13611.524391952598</v>
      </c>
      <c r="H26" s="62">
        <f t="shared" si="1"/>
        <v>509.66951759237253</v>
      </c>
      <c r="I26" s="62">
        <f t="shared" si="2"/>
        <v>317.60223581222732</v>
      </c>
      <c r="J26" s="63">
        <f t="shared" si="3"/>
        <v>827.27175340459985</v>
      </c>
      <c r="K26" s="62">
        <f t="shared" si="4"/>
        <v>13101.854874360226</v>
      </c>
    </row>
    <row r="27" spans="5:11" ht="15" customHeight="1" x14ac:dyDescent="0.2">
      <c r="E27" s="59">
        <f>IF(SUM(ROWS($E$11:E27))&gt;$L$5,"",SUM(ROWS($E$11:E27)))</f>
        <v>17</v>
      </c>
      <c r="F27" s="61">
        <f t="shared" si="0"/>
        <v>44858</v>
      </c>
      <c r="G27" s="62">
        <f t="shared" si="5"/>
        <v>13101.854874360226</v>
      </c>
      <c r="H27" s="62">
        <f t="shared" si="1"/>
        <v>521.56180633619454</v>
      </c>
      <c r="I27" s="62">
        <f t="shared" si="2"/>
        <v>305.70994706840531</v>
      </c>
      <c r="J27" s="63">
        <f t="shared" si="3"/>
        <v>827.27175340459985</v>
      </c>
      <c r="K27" s="62">
        <f t="shared" si="4"/>
        <v>12580.293068024032</v>
      </c>
    </row>
    <row r="28" spans="5:11" ht="15" customHeight="1" x14ac:dyDescent="0.2">
      <c r="E28" s="59">
        <f>IF(SUM(ROWS($E$11:E28))&gt;$L$5,"",SUM(ROWS($E$11:E28)))</f>
        <v>18</v>
      </c>
      <c r="F28" s="61">
        <f t="shared" si="0"/>
        <v>44889</v>
      </c>
      <c r="G28" s="62">
        <f t="shared" si="5"/>
        <v>12580.293068024032</v>
      </c>
      <c r="H28" s="62">
        <f t="shared" si="1"/>
        <v>533.73158181737244</v>
      </c>
      <c r="I28" s="62">
        <f t="shared" si="2"/>
        <v>293.54017158722741</v>
      </c>
      <c r="J28" s="63">
        <f t="shared" si="3"/>
        <v>827.27175340459985</v>
      </c>
      <c r="K28" s="62">
        <f t="shared" si="4"/>
        <v>12046.56148620666</v>
      </c>
    </row>
    <row r="29" spans="5:11" ht="15" customHeight="1" x14ac:dyDescent="0.2">
      <c r="E29" s="59">
        <f>IF(SUM(ROWS($E$11:E29))&gt;$L$5,"",SUM(ROWS($E$11:E29)))</f>
        <v>19</v>
      </c>
      <c r="F29" s="61">
        <f t="shared" si="0"/>
        <v>44919</v>
      </c>
      <c r="G29" s="62">
        <f t="shared" si="5"/>
        <v>12046.56148620666</v>
      </c>
      <c r="H29" s="62">
        <f t="shared" si="1"/>
        <v>546.18531872644439</v>
      </c>
      <c r="I29" s="62">
        <f t="shared" si="2"/>
        <v>281.0864346781554</v>
      </c>
      <c r="J29" s="63">
        <f t="shared" si="3"/>
        <v>827.27175340459985</v>
      </c>
      <c r="K29" s="62">
        <f t="shared" si="4"/>
        <v>11500.376167480215</v>
      </c>
    </row>
    <row r="30" spans="5:11" ht="15" customHeight="1" x14ac:dyDescent="0.2">
      <c r="E30" s="59">
        <f>IF(SUM(ROWS($E$11:E30))&gt;$L$5,"",SUM(ROWS($E$11:E30)))</f>
        <v>20</v>
      </c>
      <c r="F30" s="61">
        <f t="shared" si="0"/>
        <v>44950</v>
      </c>
      <c r="G30" s="62">
        <f t="shared" si="5"/>
        <v>11500.376167480215</v>
      </c>
      <c r="H30" s="62">
        <f t="shared" si="1"/>
        <v>558.92964283006154</v>
      </c>
      <c r="I30" s="62">
        <f t="shared" si="2"/>
        <v>268.34211057453837</v>
      </c>
      <c r="J30" s="63">
        <f t="shared" si="3"/>
        <v>827.27175340459985</v>
      </c>
      <c r="K30" s="62">
        <f t="shared" si="4"/>
        <v>10941.446524650153</v>
      </c>
    </row>
    <row r="31" spans="5:11" ht="15" customHeight="1" x14ac:dyDescent="0.2">
      <c r="E31" s="59">
        <f>IF(SUM(ROWS($E$11:E31))&gt;$L$5,"",SUM(ROWS($E$11:E31)))</f>
        <v>21</v>
      </c>
      <c r="F31" s="61">
        <f t="shared" si="0"/>
        <v>44981</v>
      </c>
      <c r="G31" s="62">
        <f t="shared" si="5"/>
        <v>10941.446524650153</v>
      </c>
      <c r="H31" s="62">
        <f t="shared" si="1"/>
        <v>571.97133449609623</v>
      </c>
      <c r="I31" s="62">
        <f t="shared" si="2"/>
        <v>255.30041890850359</v>
      </c>
      <c r="J31" s="63">
        <f t="shared" si="3"/>
        <v>827.27175340459985</v>
      </c>
      <c r="K31" s="62">
        <f t="shared" si="4"/>
        <v>10369.475190154057</v>
      </c>
    </row>
    <row r="32" spans="5:11" ht="15" customHeight="1" x14ac:dyDescent="0.2">
      <c r="E32" s="59">
        <f>IF(SUM(ROWS($E$11:E32))&gt;$L$5,"",SUM(ROWS($E$11:E32)))</f>
        <v>22</v>
      </c>
      <c r="F32" s="61">
        <f t="shared" si="0"/>
        <v>45009</v>
      </c>
      <c r="G32" s="62">
        <f t="shared" si="5"/>
        <v>10369.475190154057</v>
      </c>
      <c r="H32" s="62">
        <f t="shared" si="1"/>
        <v>585.31733230100519</v>
      </c>
      <c r="I32" s="62">
        <f t="shared" si="2"/>
        <v>241.95442110359465</v>
      </c>
      <c r="J32" s="63">
        <f t="shared" si="3"/>
        <v>827.27175340459985</v>
      </c>
      <c r="K32" s="62">
        <f t="shared" si="4"/>
        <v>9784.1578578530516</v>
      </c>
    </row>
    <row r="33" spans="5:11" ht="15" customHeight="1" x14ac:dyDescent="0.2">
      <c r="E33" s="59">
        <f>IF(SUM(ROWS($E$11:E33))&gt;$L$5,"",SUM(ROWS($E$11:E33)))</f>
        <v>23</v>
      </c>
      <c r="F33" s="61">
        <f t="shared" si="0"/>
        <v>45040</v>
      </c>
      <c r="G33" s="62">
        <f t="shared" si="5"/>
        <v>9784.1578578530516</v>
      </c>
      <c r="H33" s="62">
        <f t="shared" si="1"/>
        <v>598.97473672136198</v>
      </c>
      <c r="I33" s="62">
        <f t="shared" si="2"/>
        <v>228.29701668323787</v>
      </c>
      <c r="J33" s="63">
        <f t="shared" si="3"/>
        <v>827.27175340459985</v>
      </c>
      <c r="K33" s="62">
        <f t="shared" si="4"/>
        <v>9185.1831211316894</v>
      </c>
    </row>
    <row r="34" spans="5:11" ht="15" customHeight="1" x14ac:dyDescent="0.2">
      <c r="E34" s="59">
        <f>IF(SUM(ROWS($E$11:E34))&gt;$L$5,"",SUM(ROWS($E$11:E34)))</f>
        <v>24</v>
      </c>
      <c r="F34" s="61">
        <f t="shared" si="0"/>
        <v>45070</v>
      </c>
      <c r="G34" s="62">
        <f t="shared" si="5"/>
        <v>9185.1831211316894</v>
      </c>
      <c r="H34" s="62">
        <f t="shared" si="1"/>
        <v>612.95081391152712</v>
      </c>
      <c r="I34" s="62">
        <f t="shared" si="2"/>
        <v>214.32093949307276</v>
      </c>
      <c r="J34" s="63">
        <f t="shared" si="3"/>
        <v>827.27175340459985</v>
      </c>
      <c r="K34" s="62">
        <f t="shared" si="4"/>
        <v>8572.2323072201616</v>
      </c>
    </row>
    <row r="35" spans="5:11" ht="15" customHeight="1" x14ac:dyDescent="0.2">
      <c r="E35" s="59">
        <f>IF(SUM(ROWS($E$11:E35))&gt;$L$5,"",SUM(ROWS($E$11:E35)))</f>
        <v>25</v>
      </c>
      <c r="F35" s="61">
        <f t="shared" si="0"/>
        <v>45101</v>
      </c>
      <c r="G35" s="62">
        <f t="shared" si="5"/>
        <v>8572.2323072201616</v>
      </c>
      <c r="H35" s="62">
        <f t="shared" si="1"/>
        <v>627.25299956946276</v>
      </c>
      <c r="I35" s="62">
        <f t="shared" si="2"/>
        <v>200.01875383513712</v>
      </c>
      <c r="J35" s="63">
        <f t="shared" si="3"/>
        <v>827.27175340459985</v>
      </c>
      <c r="K35" s="62">
        <f t="shared" si="4"/>
        <v>7944.9793076506985</v>
      </c>
    </row>
    <row r="36" spans="5:11" ht="15" customHeight="1" x14ac:dyDescent="0.2">
      <c r="E36" s="59">
        <f>IF(SUM(ROWS($E$11:E36))&gt;$L$5,"",SUM(ROWS($E$11:E36)))</f>
        <v>26</v>
      </c>
      <c r="F36" s="61">
        <f t="shared" si="0"/>
        <v>45131</v>
      </c>
      <c r="G36" s="62">
        <f t="shared" si="5"/>
        <v>7944.9793076506985</v>
      </c>
      <c r="H36" s="62">
        <f t="shared" si="1"/>
        <v>641.88890289275014</v>
      </c>
      <c r="I36" s="62">
        <f t="shared" si="2"/>
        <v>185.38285051184965</v>
      </c>
      <c r="J36" s="63">
        <f t="shared" si="3"/>
        <v>827.27175340459985</v>
      </c>
      <c r="K36" s="62">
        <f t="shared" si="4"/>
        <v>7303.0904047579479</v>
      </c>
    </row>
    <row r="37" spans="5:11" ht="15" customHeight="1" x14ac:dyDescent="0.2">
      <c r="E37" s="59">
        <f>IF(SUM(ROWS($E$11:E37))&gt;$L$5,"",SUM(ROWS($E$11:E37)))</f>
        <v>27</v>
      </c>
      <c r="F37" s="61">
        <f t="shared" si="0"/>
        <v>45162</v>
      </c>
      <c r="G37" s="62">
        <f t="shared" si="5"/>
        <v>7303.0904047579479</v>
      </c>
      <c r="H37" s="62">
        <f t="shared" si="1"/>
        <v>656.86631062691436</v>
      </c>
      <c r="I37" s="62">
        <f t="shared" si="2"/>
        <v>170.40544277768547</v>
      </c>
      <c r="J37" s="63">
        <f t="shared" si="3"/>
        <v>827.27175340459985</v>
      </c>
      <c r="K37" s="62">
        <f t="shared" si="4"/>
        <v>6646.2240941310338</v>
      </c>
    </row>
    <row r="38" spans="5:11" ht="15" customHeight="1" x14ac:dyDescent="0.2">
      <c r="E38" s="59">
        <f>IF(SUM(ROWS($E$11:E38))&gt;$L$5,"",SUM(ROWS($E$11:E38)))</f>
        <v>28</v>
      </c>
      <c r="F38" s="61">
        <f t="shared" si="0"/>
        <v>45193</v>
      </c>
      <c r="G38" s="62">
        <f t="shared" si="5"/>
        <v>6646.2240941310338</v>
      </c>
      <c r="H38" s="62">
        <f t="shared" si="1"/>
        <v>672.1931912082091</v>
      </c>
      <c r="I38" s="62">
        <f t="shared" si="2"/>
        <v>155.07856219639081</v>
      </c>
      <c r="J38" s="63">
        <f t="shared" si="3"/>
        <v>827.27175340459985</v>
      </c>
      <c r="K38" s="62">
        <f t="shared" si="4"/>
        <v>5974.0309029228247</v>
      </c>
    </row>
    <row r="39" spans="5:11" ht="15" customHeight="1" x14ac:dyDescent="0.2">
      <c r="E39" s="59">
        <f>IF(SUM(ROWS($E$11:E39))&gt;$L$5,"",SUM(ROWS($E$11:E39)))</f>
        <v>29</v>
      </c>
      <c r="F39" s="61">
        <f t="shared" si="0"/>
        <v>45223</v>
      </c>
      <c r="G39" s="62">
        <f t="shared" si="5"/>
        <v>5974.0309029228247</v>
      </c>
      <c r="H39" s="62">
        <f t="shared" si="1"/>
        <v>687.87769900306728</v>
      </c>
      <c r="I39" s="62">
        <f t="shared" si="2"/>
        <v>139.39405440153257</v>
      </c>
      <c r="J39" s="63">
        <f t="shared" si="3"/>
        <v>827.27175340459985</v>
      </c>
      <c r="K39" s="62">
        <f t="shared" si="4"/>
        <v>5286.1532039197573</v>
      </c>
    </row>
    <row r="40" spans="5:11" ht="15" customHeight="1" x14ac:dyDescent="0.2">
      <c r="E40" s="59">
        <f>IF(SUM(ROWS($E$11:E40))&gt;$L$5,"",SUM(ROWS($E$11:E40)))</f>
        <v>30</v>
      </c>
      <c r="F40" s="61">
        <f t="shared" si="0"/>
        <v>45254</v>
      </c>
      <c r="G40" s="62">
        <f t="shared" si="5"/>
        <v>5286.1532039197573</v>
      </c>
      <c r="H40" s="62">
        <f t="shared" si="1"/>
        <v>703.92817864647213</v>
      </c>
      <c r="I40" s="62">
        <f t="shared" si="2"/>
        <v>123.34357475812767</v>
      </c>
      <c r="J40" s="63">
        <f t="shared" si="3"/>
        <v>827.27175340459985</v>
      </c>
      <c r="K40" s="62">
        <f t="shared" si="4"/>
        <v>4582.2250252732847</v>
      </c>
    </row>
    <row r="41" spans="5:11" ht="15" customHeight="1" x14ac:dyDescent="0.2">
      <c r="E41" s="59">
        <f>IF(SUM(ROWS($E$11:E41))&gt;$L$5,"",SUM(ROWS($E$11:E41)))</f>
        <v>31</v>
      </c>
      <c r="F41" s="61">
        <f t="shared" si="0"/>
        <v>45284</v>
      </c>
      <c r="G41" s="62">
        <f t="shared" si="5"/>
        <v>4582.2250252732847</v>
      </c>
      <c r="H41" s="62">
        <f t="shared" si="1"/>
        <v>720.35316948155651</v>
      </c>
      <c r="I41" s="62">
        <f t="shared" si="2"/>
        <v>106.91858392304331</v>
      </c>
      <c r="J41" s="63">
        <f t="shared" si="3"/>
        <v>827.27175340459985</v>
      </c>
      <c r="K41" s="62">
        <f t="shared" si="4"/>
        <v>3861.8718557917282</v>
      </c>
    </row>
    <row r="42" spans="5:11" ht="15" customHeight="1" x14ac:dyDescent="0.2">
      <c r="E42" s="59">
        <f>IF(SUM(ROWS($E$11:E42))&gt;$L$5,"",SUM(ROWS($E$11:E42)))</f>
        <v>32</v>
      </c>
      <c r="F42" s="61">
        <f t="shared" si="0"/>
        <v>45315</v>
      </c>
      <c r="G42" s="62">
        <f t="shared" si="5"/>
        <v>3861.8718557917282</v>
      </c>
      <c r="H42" s="62">
        <f t="shared" si="1"/>
        <v>737.16141010279284</v>
      </c>
      <c r="I42" s="62">
        <f t="shared" si="2"/>
        <v>90.110343301806992</v>
      </c>
      <c r="J42" s="63">
        <f t="shared" si="3"/>
        <v>827.27175340459985</v>
      </c>
      <c r="K42" s="62">
        <f t="shared" si="4"/>
        <v>3124.7104456889356</v>
      </c>
    </row>
    <row r="43" spans="5:11" ht="15" customHeight="1" x14ac:dyDescent="0.2">
      <c r="E43" s="59">
        <f>IF(SUM(ROWS($E$11:E43))&gt;$L$5,"",SUM(ROWS($E$11:E43)))</f>
        <v>33</v>
      </c>
      <c r="F43" s="61">
        <f t="shared" ref="F43:F70" si="6">IFERROR(DATE(YEAR(Fecha),MONTH(Fecha)+E43,DAY(Fecha)),"")</f>
        <v>45346</v>
      </c>
      <c r="G43" s="62">
        <f t="shared" si="5"/>
        <v>3124.7104456889356</v>
      </c>
      <c r="H43" s="62">
        <f t="shared" ref="H43:H70" si="7">IF(LEN(E43)&gt;0,J43-I43,"")</f>
        <v>754.3618430051913</v>
      </c>
      <c r="I43" s="62">
        <f t="shared" ref="I43:I70" si="8">IF(LEN(E43)&gt;0,G43*$F$6,"")</f>
        <v>72.909910399408503</v>
      </c>
      <c r="J43" s="63">
        <f t="shared" ref="J43:J70" si="9">IF(LEN(E43)&gt;0,$L$4,"")</f>
        <v>827.27175340459985</v>
      </c>
      <c r="K43" s="62">
        <f t="shared" ref="K43:K70" si="10">IFERROR((G43-H43),"")</f>
        <v>2370.3486026837445</v>
      </c>
    </row>
    <row r="44" spans="5:11" ht="15" customHeight="1" x14ac:dyDescent="0.2">
      <c r="E44" s="59">
        <f>IF(SUM(ROWS($E$11:E44))&gt;$L$5,"",SUM(ROWS($E$11:E44)))</f>
        <v>34</v>
      </c>
      <c r="F44" s="61">
        <f t="shared" si="6"/>
        <v>45375</v>
      </c>
      <c r="G44" s="62">
        <f t="shared" ref="G44:G70" si="11">IF(LEN(E44)&gt;0,IFERROR((K43),""),"")</f>
        <v>2370.3486026837445</v>
      </c>
      <c r="H44" s="62">
        <f t="shared" si="7"/>
        <v>771.9636193419791</v>
      </c>
      <c r="I44" s="62">
        <f t="shared" si="8"/>
        <v>55.308134062620709</v>
      </c>
      <c r="J44" s="63">
        <f t="shared" si="9"/>
        <v>827.27175340459985</v>
      </c>
      <c r="K44" s="62">
        <f t="shared" si="10"/>
        <v>1598.3849833417653</v>
      </c>
    </row>
    <row r="45" spans="5:11" ht="15" customHeight="1" x14ac:dyDescent="0.2">
      <c r="E45" s="59">
        <f>IF(SUM(ROWS($E$11:E45))&gt;$L$5,"",SUM(ROWS($E$11:E45)))</f>
        <v>35</v>
      </c>
      <c r="F45" s="61">
        <f t="shared" si="6"/>
        <v>45406</v>
      </c>
      <c r="G45" s="62">
        <f t="shared" si="11"/>
        <v>1598.3849833417653</v>
      </c>
      <c r="H45" s="62">
        <f t="shared" si="7"/>
        <v>789.97610379329194</v>
      </c>
      <c r="I45" s="62">
        <f t="shared" si="8"/>
        <v>37.295649611307859</v>
      </c>
      <c r="J45" s="63">
        <f t="shared" si="9"/>
        <v>827.27175340459985</v>
      </c>
      <c r="K45" s="62">
        <f t="shared" si="10"/>
        <v>808.40887954847335</v>
      </c>
    </row>
    <row r="46" spans="5:11" ht="15" customHeight="1" x14ac:dyDescent="0.2">
      <c r="E46" s="59">
        <f>IF(SUM(ROWS($E$11:E46))&gt;$L$5,"",SUM(ROWS($E$11:E46)))</f>
        <v>36</v>
      </c>
      <c r="F46" s="61">
        <f t="shared" si="6"/>
        <v>45436</v>
      </c>
      <c r="G46" s="62">
        <f t="shared" si="11"/>
        <v>808.40887954847335</v>
      </c>
      <c r="H46" s="62">
        <f t="shared" si="7"/>
        <v>808.4088795484688</v>
      </c>
      <c r="I46" s="62">
        <f t="shared" si="8"/>
        <v>18.862873856131046</v>
      </c>
      <c r="J46" s="63">
        <f t="shared" si="9"/>
        <v>827.27175340459985</v>
      </c>
      <c r="K46" s="62">
        <f t="shared" si="10"/>
        <v>4.5474735088646412E-12</v>
      </c>
    </row>
    <row r="47" spans="5:11" ht="15" customHeight="1" x14ac:dyDescent="0.2">
      <c r="E47" s="59" t="str">
        <f>IF(SUM(ROWS($E$11:E47))&gt;$L$5,"",SUM(ROWS($E$11:E47)))</f>
        <v/>
      </c>
      <c r="F47" s="61" t="str">
        <f t="shared" si="6"/>
        <v/>
      </c>
      <c r="G47" s="62" t="str">
        <f t="shared" si="11"/>
        <v/>
      </c>
      <c r="H47" s="62" t="str">
        <f t="shared" si="7"/>
        <v/>
      </c>
      <c r="I47" s="62" t="str">
        <f t="shared" si="8"/>
        <v/>
      </c>
      <c r="J47" s="63" t="str">
        <f t="shared" si="9"/>
        <v/>
      </c>
      <c r="K47" s="62" t="str">
        <f t="shared" si="10"/>
        <v/>
      </c>
    </row>
    <row r="48" spans="5:11" ht="15" customHeight="1" x14ac:dyDescent="0.2">
      <c r="E48" s="59" t="str">
        <f>IF(SUM(ROWS($E$11:E48))&gt;$L$5,"",SUM(ROWS($E$11:E48)))</f>
        <v/>
      </c>
      <c r="F48" s="61" t="str">
        <f t="shared" si="6"/>
        <v/>
      </c>
      <c r="G48" s="62" t="str">
        <f t="shared" si="11"/>
        <v/>
      </c>
      <c r="H48" s="62" t="str">
        <f t="shared" si="7"/>
        <v/>
      </c>
      <c r="I48" s="62" t="str">
        <f t="shared" si="8"/>
        <v/>
      </c>
      <c r="J48" s="63" t="str">
        <f t="shared" si="9"/>
        <v/>
      </c>
      <c r="K48" s="62" t="str">
        <f t="shared" si="10"/>
        <v/>
      </c>
    </row>
    <row r="49" spans="5:11" ht="15" customHeight="1" x14ac:dyDescent="0.2">
      <c r="E49" s="59" t="str">
        <f>IF(SUM(ROWS($E$11:E49))&gt;$L$5,"",SUM(ROWS($E$11:E49)))</f>
        <v/>
      </c>
      <c r="F49" s="61" t="str">
        <f t="shared" si="6"/>
        <v/>
      </c>
      <c r="G49" s="62" t="str">
        <f t="shared" si="11"/>
        <v/>
      </c>
      <c r="H49" s="62" t="str">
        <f t="shared" si="7"/>
        <v/>
      </c>
      <c r="I49" s="62" t="str">
        <f t="shared" si="8"/>
        <v/>
      </c>
      <c r="J49" s="63" t="str">
        <f t="shared" si="9"/>
        <v/>
      </c>
      <c r="K49" s="62" t="str">
        <f t="shared" si="10"/>
        <v/>
      </c>
    </row>
    <row r="50" spans="5:11" ht="15" customHeight="1" x14ac:dyDescent="0.2">
      <c r="E50" s="59" t="str">
        <f>IF(SUM(ROWS($E$11:E50))&gt;$L$5,"",SUM(ROWS($E$11:E50)))</f>
        <v/>
      </c>
      <c r="F50" s="61" t="str">
        <f t="shared" si="6"/>
        <v/>
      </c>
      <c r="G50" s="62" t="str">
        <f t="shared" si="11"/>
        <v/>
      </c>
      <c r="H50" s="62" t="str">
        <f t="shared" si="7"/>
        <v/>
      </c>
      <c r="I50" s="62" t="str">
        <f t="shared" si="8"/>
        <v/>
      </c>
      <c r="J50" s="63" t="str">
        <f t="shared" si="9"/>
        <v/>
      </c>
      <c r="K50" s="62" t="str">
        <f t="shared" si="10"/>
        <v/>
      </c>
    </row>
    <row r="51" spans="5:11" ht="15" customHeight="1" x14ac:dyDescent="0.2">
      <c r="E51" s="59" t="str">
        <f>IF(SUM(ROWS($E$11:E51))&gt;$L$5,"",SUM(ROWS($E$11:E51)))</f>
        <v/>
      </c>
      <c r="F51" s="61" t="str">
        <f t="shared" si="6"/>
        <v/>
      </c>
      <c r="G51" s="62" t="str">
        <f t="shared" si="11"/>
        <v/>
      </c>
      <c r="H51" s="62" t="str">
        <f t="shared" si="7"/>
        <v/>
      </c>
      <c r="I51" s="62" t="str">
        <f t="shared" si="8"/>
        <v/>
      </c>
      <c r="J51" s="63" t="str">
        <f t="shared" si="9"/>
        <v/>
      </c>
      <c r="K51" s="62" t="str">
        <f t="shared" si="10"/>
        <v/>
      </c>
    </row>
    <row r="52" spans="5:11" ht="15" customHeight="1" x14ac:dyDescent="0.2">
      <c r="E52" s="59" t="str">
        <f>IF(SUM(ROWS($E$11:E52))&gt;$L$5,"",SUM(ROWS($E$11:E52)))</f>
        <v/>
      </c>
      <c r="F52" s="61" t="str">
        <f t="shared" si="6"/>
        <v/>
      </c>
      <c r="G52" s="62" t="str">
        <f t="shared" si="11"/>
        <v/>
      </c>
      <c r="H52" s="62" t="str">
        <f t="shared" si="7"/>
        <v/>
      </c>
      <c r="I52" s="62" t="str">
        <f t="shared" si="8"/>
        <v/>
      </c>
      <c r="J52" s="63" t="str">
        <f t="shared" si="9"/>
        <v/>
      </c>
      <c r="K52" s="62" t="str">
        <f t="shared" si="10"/>
        <v/>
      </c>
    </row>
    <row r="53" spans="5:11" ht="15" customHeight="1" x14ac:dyDescent="0.2">
      <c r="E53" s="59" t="str">
        <f>IF(SUM(ROWS($E$11:E53))&gt;$L$5,"",SUM(ROWS($E$11:E53)))</f>
        <v/>
      </c>
      <c r="F53" s="61" t="str">
        <f t="shared" si="6"/>
        <v/>
      </c>
      <c r="G53" s="62" t="str">
        <f t="shared" si="11"/>
        <v/>
      </c>
      <c r="H53" s="62" t="str">
        <f t="shared" si="7"/>
        <v/>
      </c>
      <c r="I53" s="62" t="str">
        <f t="shared" si="8"/>
        <v/>
      </c>
      <c r="J53" s="63" t="str">
        <f t="shared" si="9"/>
        <v/>
      </c>
      <c r="K53" s="62" t="str">
        <f t="shared" si="10"/>
        <v/>
      </c>
    </row>
    <row r="54" spans="5:11" ht="15" customHeight="1" x14ac:dyDescent="0.2">
      <c r="E54" s="59" t="str">
        <f>IF(SUM(ROWS($E$11:E54))&gt;$L$5,"",SUM(ROWS($E$11:E54)))</f>
        <v/>
      </c>
      <c r="F54" s="61" t="str">
        <f t="shared" si="6"/>
        <v/>
      </c>
      <c r="G54" s="62" t="str">
        <f t="shared" si="11"/>
        <v/>
      </c>
      <c r="H54" s="62" t="str">
        <f t="shared" si="7"/>
        <v/>
      </c>
      <c r="I54" s="62" t="str">
        <f t="shared" si="8"/>
        <v/>
      </c>
      <c r="J54" s="63" t="str">
        <f t="shared" si="9"/>
        <v/>
      </c>
      <c r="K54" s="62" t="str">
        <f t="shared" si="10"/>
        <v/>
      </c>
    </row>
    <row r="55" spans="5:11" ht="15" customHeight="1" x14ac:dyDescent="0.2">
      <c r="E55" s="59" t="str">
        <f>IF(SUM(ROWS($E$11:E55))&gt;$L$5,"",SUM(ROWS($E$11:E55)))</f>
        <v/>
      </c>
      <c r="F55" s="61" t="str">
        <f t="shared" si="6"/>
        <v/>
      </c>
      <c r="G55" s="62" t="str">
        <f t="shared" si="11"/>
        <v/>
      </c>
      <c r="H55" s="62" t="str">
        <f t="shared" si="7"/>
        <v/>
      </c>
      <c r="I55" s="62" t="str">
        <f t="shared" si="8"/>
        <v/>
      </c>
      <c r="J55" s="63" t="str">
        <f t="shared" si="9"/>
        <v/>
      </c>
      <c r="K55" s="62" t="str">
        <f t="shared" si="10"/>
        <v/>
      </c>
    </row>
    <row r="56" spans="5:11" ht="15" customHeight="1" x14ac:dyDescent="0.2">
      <c r="E56" s="59" t="str">
        <f>IF(SUM(ROWS($E$11:E56))&gt;$L$5,"",SUM(ROWS($E$11:E56)))</f>
        <v/>
      </c>
      <c r="F56" s="61" t="str">
        <f t="shared" si="6"/>
        <v/>
      </c>
      <c r="G56" s="62" t="str">
        <f t="shared" si="11"/>
        <v/>
      </c>
      <c r="H56" s="62" t="str">
        <f t="shared" si="7"/>
        <v/>
      </c>
      <c r="I56" s="62" t="str">
        <f t="shared" si="8"/>
        <v/>
      </c>
      <c r="J56" s="63" t="str">
        <f t="shared" si="9"/>
        <v/>
      </c>
      <c r="K56" s="62" t="str">
        <f t="shared" si="10"/>
        <v/>
      </c>
    </row>
    <row r="57" spans="5:11" ht="15" customHeight="1" x14ac:dyDescent="0.2">
      <c r="E57" s="59" t="str">
        <f>IF(SUM(ROWS($E$11:E57))&gt;$L$5,"",SUM(ROWS($E$11:E57)))</f>
        <v/>
      </c>
      <c r="F57" s="61" t="str">
        <f t="shared" si="6"/>
        <v/>
      </c>
      <c r="G57" s="62" t="str">
        <f t="shared" si="11"/>
        <v/>
      </c>
      <c r="H57" s="62" t="str">
        <f t="shared" si="7"/>
        <v/>
      </c>
      <c r="I57" s="62" t="str">
        <f t="shared" si="8"/>
        <v/>
      </c>
      <c r="J57" s="63" t="str">
        <f t="shared" si="9"/>
        <v/>
      </c>
      <c r="K57" s="62" t="str">
        <f t="shared" si="10"/>
        <v/>
      </c>
    </row>
    <row r="58" spans="5:11" ht="15" customHeight="1" x14ac:dyDescent="0.2">
      <c r="E58" s="59" t="str">
        <f>IF(SUM(ROWS($E$11:E58))&gt;$L$5,"",SUM(ROWS($E$11:E58)))</f>
        <v/>
      </c>
      <c r="F58" s="61" t="str">
        <f t="shared" si="6"/>
        <v/>
      </c>
      <c r="G58" s="62" t="str">
        <f t="shared" si="11"/>
        <v/>
      </c>
      <c r="H58" s="62" t="str">
        <f t="shared" si="7"/>
        <v/>
      </c>
      <c r="I58" s="62" t="str">
        <f t="shared" si="8"/>
        <v/>
      </c>
      <c r="J58" s="63" t="str">
        <f t="shared" si="9"/>
        <v/>
      </c>
      <c r="K58" s="62" t="str">
        <f t="shared" si="10"/>
        <v/>
      </c>
    </row>
    <row r="59" spans="5:11" ht="15" customHeight="1" x14ac:dyDescent="0.2">
      <c r="E59" s="59" t="str">
        <f>IF(SUM(ROWS($E$11:E59))&gt;$L$5,"",SUM(ROWS($E$11:E59)))</f>
        <v/>
      </c>
      <c r="F59" s="61" t="str">
        <f t="shared" si="6"/>
        <v/>
      </c>
      <c r="G59" s="62" t="str">
        <f t="shared" si="11"/>
        <v/>
      </c>
      <c r="H59" s="62" t="str">
        <f t="shared" si="7"/>
        <v/>
      </c>
      <c r="I59" s="62" t="str">
        <f t="shared" si="8"/>
        <v/>
      </c>
      <c r="J59" s="63" t="str">
        <f t="shared" si="9"/>
        <v/>
      </c>
      <c r="K59" s="62" t="str">
        <f t="shared" si="10"/>
        <v/>
      </c>
    </row>
    <row r="60" spans="5:11" ht="15" customHeight="1" x14ac:dyDescent="0.2">
      <c r="E60" s="59" t="str">
        <f>IF(SUM(ROWS($E$11:E60))&gt;$L$5,"",SUM(ROWS($E$11:E60)))</f>
        <v/>
      </c>
      <c r="F60" s="61" t="str">
        <f t="shared" si="6"/>
        <v/>
      </c>
      <c r="G60" s="62" t="str">
        <f t="shared" si="11"/>
        <v/>
      </c>
      <c r="H60" s="62" t="str">
        <f t="shared" si="7"/>
        <v/>
      </c>
      <c r="I60" s="62" t="str">
        <f t="shared" si="8"/>
        <v/>
      </c>
      <c r="J60" s="63" t="str">
        <f t="shared" si="9"/>
        <v/>
      </c>
      <c r="K60" s="62" t="str">
        <f t="shared" si="10"/>
        <v/>
      </c>
    </row>
    <row r="61" spans="5:11" ht="15" customHeight="1" x14ac:dyDescent="0.2">
      <c r="E61" s="59" t="str">
        <f>IF(SUM(ROWS($E$11:E61))&gt;$L$5,"",SUM(ROWS($E$11:E61)))</f>
        <v/>
      </c>
      <c r="F61" s="61" t="str">
        <f t="shared" si="6"/>
        <v/>
      </c>
      <c r="G61" s="62" t="str">
        <f t="shared" si="11"/>
        <v/>
      </c>
      <c r="H61" s="62" t="str">
        <f t="shared" si="7"/>
        <v/>
      </c>
      <c r="I61" s="62" t="str">
        <f t="shared" si="8"/>
        <v/>
      </c>
      <c r="J61" s="63" t="str">
        <f t="shared" si="9"/>
        <v/>
      </c>
      <c r="K61" s="62" t="str">
        <f t="shared" si="10"/>
        <v/>
      </c>
    </row>
    <row r="62" spans="5:11" ht="15" customHeight="1" x14ac:dyDescent="0.2">
      <c r="E62" s="59" t="str">
        <f>IF(SUM(ROWS($E$11:E62))&gt;$L$5,"",SUM(ROWS($E$11:E62)))</f>
        <v/>
      </c>
      <c r="F62" s="61" t="str">
        <f t="shared" si="6"/>
        <v/>
      </c>
      <c r="G62" s="62" t="str">
        <f t="shared" si="11"/>
        <v/>
      </c>
      <c r="H62" s="62" t="str">
        <f t="shared" si="7"/>
        <v/>
      </c>
      <c r="I62" s="62" t="str">
        <f t="shared" si="8"/>
        <v/>
      </c>
      <c r="J62" s="63" t="str">
        <f t="shared" si="9"/>
        <v/>
      </c>
      <c r="K62" s="62" t="str">
        <f t="shared" si="10"/>
        <v/>
      </c>
    </row>
    <row r="63" spans="5:11" ht="15" customHeight="1" x14ac:dyDescent="0.2">
      <c r="E63" s="59" t="str">
        <f>IF(SUM(ROWS($E$11:E63))&gt;$L$5,"",SUM(ROWS($E$11:E63)))</f>
        <v/>
      </c>
      <c r="F63" s="61" t="str">
        <f t="shared" si="6"/>
        <v/>
      </c>
      <c r="G63" s="62" t="str">
        <f t="shared" si="11"/>
        <v/>
      </c>
      <c r="H63" s="62" t="str">
        <f t="shared" si="7"/>
        <v/>
      </c>
      <c r="I63" s="62" t="str">
        <f t="shared" si="8"/>
        <v/>
      </c>
      <c r="J63" s="63" t="str">
        <f t="shared" si="9"/>
        <v/>
      </c>
      <c r="K63" s="62" t="str">
        <f t="shared" si="10"/>
        <v/>
      </c>
    </row>
    <row r="64" spans="5:11" ht="15" customHeight="1" x14ac:dyDescent="0.2">
      <c r="E64" s="59" t="str">
        <f>IF(SUM(ROWS($E$11:E64))&gt;$L$5,"",SUM(ROWS($E$11:E64)))</f>
        <v/>
      </c>
      <c r="F64" s="61" t="str">
        <f t="shared" si="6"/>
        <v/>
      </c>
      <c r="G64" s="62" t="str">
        <f t="shared" si="11"/>
        <v/>
      </c>
      <c r="H64" s="62" t="str">
        <f t="shared" si="7"/>
        <v/>
      </c>
      <c r="I64" s="62" t="str">
        <f t="shared" si="8"/>
        <v/>
      </c>
      <c r="J64" s="63" t="str">
        <f t="shared" si="9"/>
        <v/>
      </c>
      <c r="K64" s="62" t="str">
        <f t="shared" si="10"/>
        <v/>
      </c>
    </row>
    <row r="65" spans="5:11" ht="15" customHeight="1" x14ac:dyDescent="0.2">
      <c r="E65" s="59" t="str">
        <f>IF(SUM(ROWS($E$11:E65))&gt;$L$5,"",SUM(ROWS($E$11:E65)))</f>
        <v/>
      </c>
      <c r="F65" s="61" t="str">
        <f t="shared" si="6"/>
        <v/>
      </c>
      <c r="G65" s="62" t="str">
        <f t="shared" si="11"/>
        <v/>
      </c>
      <c r="H65" s="62" t="str">
        <f t="shared" si="7"/>
        <v/>
      </c>
      <c r="I65" s="62" t="str">
        <f t="shared" si="8"/>
        <v/>
      </c>
      <c r="J65" s="63" t="str">
        <f t="shared" si="9"/>
        <v/>
      </c>
      <c r="K65" s="62" t="str">
        <f t="shared" si="10"/>
        <v/>
      </c>
    </row>
    <row r="66" spans="5:11" ht="15" customHeight="1" x14ac:dyDescent="0.2">
      <c r="E66" s="59" t="str">
        <f>IF(SUM(ROWS($E$11:E66))&gt;$L$5,"",SUM(ROWS($E$11:E66)))</f>
        <v/>
      </c>
      <c r="F66" s="61" t="str">
        <f t="shared" si="6"/>
        <v/>
      </c>
      <c r="G66" s="62" t="str">
        <f t="shared" si="11"/>
        <v/>
      </c>
      <c r="H66" s="62" t="str">
        <f t="shared" si="7"/>
        <v/>
      </c>
      <c r="I66" s="62" t="str">
        <f t="shared" si="8"/>
        <v/>
      </c>
      <c r="J66" s="63" t="str">
        <f t="shared" si="9"/>
        <v/>
      </c>
      <c r="K66" s="62" t="str">
        <f t="shared" si="10"/>
        <v/>
      </c>
    </row>
    <row r="67" spans="5:11" ht="15" customHeight="1" x14ac:dyDescent="0.2">
      <c r="E67" s="59" t="str">
        <f>IF(SUM(ROWS($E$11:E67))&gt;$L$5,"",SUM(ROWS($E$11:E67)))</f>
        <v/>
      </c>
      <c r="F67" s="61" t="str">
        <f t="shared" si="6"/>
        <v/>
      </c>
      <c r="G67" s="62" t="str">
        <f t="shared" si="11"/>
        <v/>
      </c>
      <c r="H67" s="62" t="str">
        <f t="shared" si="7"/>
        <v/>
      </c>
      <c r="I67" s="62" t="str">
        <f t="shared" si="8"/>
        <v/>
      </c>
      <c r="J67" s="63" t="str">
        <f t="shared" si="9"/>
        <v/>
      </c>
      <c r="K67" s="62" t="str">
        <f t="shared" si="10"/>
        <v/>
      </c>
    </row>
    <row r="68" spans="5:11" ht="15" customHeight="1" x14ac:dyDescent="0.2">
      <c r="E68" s="59" t="str">
        <f>IF(SUM(ROWS($E$11:E68))&gt;$L$5,"",SUM(ROWS($E$11:E68)))</f>
        <v/>
      </c>
      <c r="F68" s="61" t="str">
        <f t="shared" si="6"/>
        <v/>
      </c>
      <c r="G68" s="62" t="str">
        <f t="shared" si="11"/>
        <v/>
      </c>
      <c r="H68" s="62" t="str">
        <f t="shared" si="7"/>
        <v/>
      </c>
      <c r="I68" s="62" t="str">
        <f t="shared" si="8"/>
        <v/>
      </c>
      <c r="J68" s="63" t="str">
        <f t="shared" si="9"/>
        <v/>
      </c>
      <c r="K68" s="62" t="str">
        <f t="shared" si="10"/>
        <v/>
      </c>
    </row>
    <row r="69" spans="5:11" ht="15" customHeight="1" x14ac:dyDescent="0.2">
      <c r="E69" s="59" t="str">
        <f>IF(SUM(ROWS($E$11:E69))&gt;$L$5,"",SUM(ROWS($E$11:E69)))</f>
        <v/>
      </c>
      <c r="F69" s="61" t="str">
        <f t="shared" si="6"/>
        <v/>
      </c>
      <c r="G69" s="62" t="str">
        <f t="shared" si="11"/>
        <v/>
      </c>
      <c r="H69" s="62" t="str">
        <f t="shared" si="7"/>
        <v/>
      </c>
      <c r="I69" s="62" t="str">
        <f t="shared" si="8"/>
        <v/>
      </c>
      <c r="J69" s="63" t="str">
        <f t="shared" si="9"/>
        <v/>
      </c>
      <c r="K69" s="62" t="str">
        <f t="shared" si="10"/>
        <v/>
      </c>
    </row>
    <row r="70" spans="5:11" ht="15" customHeight="1" x14ac:dyDescent="0.2">
      <c r="E70" s="59" t="str">
        <f>IF(SUM(ROWS($E$11:E70))&gt;$L$5,"",SUM(ROWS($E$11:E70)))</f>
        <v/>
      </c>
      <c r="F70" s="61" t="str">
        <f t="shared" si="6"/>
        <v/>
      </c>
      <c r="G70" s="62" t="str">
        <f t="shared" si="11"/>
        <v/>
      </c>
      <c r="H70" s="62" t="str">
        <f t="shared" si="7"/>
        <v/>
      </c>
      <c r="I70" s="62" t="str">
        <f t="shared" si="8"/>
        <v/>
      </c>
      <c r="J70" s="63" t="str">
        <f t="shared" si="9"/>
        <v/>
      </c>
      <c r="K70" s="62" t="str">
        <f t="shared" si="10"/>
        <v/>
      </c>
    </row>
    <row r="71" spans="5:11" ht="15" customHeight="1" x14ac:dyDescent="0.2">
      <c r="E71" s="60"/>
      <c r="F71" s="57"/>
      <c r="G71" s="57"/>
      <c r="H71" s="57"/>
      <c r="I71" s="57"/>
      <c r="J71" s="57"/>
      <c r="K71" s="57"/>
    </row>
    <row r="72" spans="5:11" ht="15" customHeight="1" x14ac:dyDescent="0.2">
      <c r="E72" s="60"/>
      <c r="F72" s="57"/>
      <c r="G72" s="57"/>
      <c r="H72" s="57"/>
      <c r="I72" s="57"/>
      <c r="J72" s="57"/>
      <c r="K72" s="57"/>
    </row>
    <row r="73" spans="5:11" ht="15" customHeight="1" x14ac:dyDescent="0.2">
      <c r="E73" s="60"/>
      <c r="F73" s="57"/>
      <c r="G73" s="57"/>
      <c r="H73" s="57"/>
      <c r="I73" s="57"/>
      <c r="J73" s="57"/>
      <c r="K73" s="57"/>
    </row>
    <row r="74" spans="5:11" ht="15" customHeight="1" x14ac:dyDescent="0.2">
      <c r="E74" s="60"/>
      <c r="F74" s="57"/>
      <c r="G74" s="57"/>
      <c r="H74" s="57"/>
      <c r="I74" s="57"/>
      <c r="J74" s="57"/>
      <c r="K74" s="57"/>
    </row>
    <row r="75" spans="5:11" ht="15" customHeight="1" x14ac:dyDescent="0.2">
      <c r="E75" s="60"/>
      <c r="F75" s="57"/>
      <c r="G75" s="57"/>
      <c r="H75" s="57"/>
      <c r="I75" s="57"/>
      <c r="J75" s="57"/>
      <c r="K75" s="57"/>
    </row>
    <row r="76" spans="5:11" ht="15" customHeight="1" x14ac:dyDescent="0.2">
      <c r="E76" s="60"/>
      <c r="F76" s="57"/>
      <c r="G76" s="57"/>
      <c r="H76" s="57"/>
      <c r="I76" s="57"/>
      <c r="J76" s="57"/>
      <c r="K76" s="57"/>
    </row>
    <row r="77" spans="5:11" ht="15" customHeight="1" x14ac:dyDescent="0.2">
      <c r="E77" s="60"/>
      <c r="F77" s="57"/>
      <c r="G77" s="57"/>
      <c r="H77" s="57"/>
      <c r="I77" s="57"/>
      <c r="J77" s="57"/>
      <c r="K77" s="57"/>
    </row>
    <row r="78" spans="5:11" ht="15" customHeight="1" x14ac:dyDescent="0.2">
      <c r="E78" s="60"/>
      <c r="F78" s="57"/>
      <c r="G78" s="57"/>
      <c r="H78" s="57"/>
      <c r="I78" s="57"/>
      <c r="J78" s="57"/>
      <c r="K78" s="57"/>
    </row>
    <row r="79" spans="5:11" ht="15" customHeight="1" x14ac:dyDescent="0.2">
      <c r="E79" s="60"/>
      <c r="F79" s="57"/>
      <c r="G79" s="57"/>
      <c r="H79" s="57"/>
      <c r="I79" s="57"/>
      <c r="J79" s="57"/>
      <c r="K79" s="57"/>
    </row>
    <row r="80" spans="5:11" ht="15" customHeight="1" x14ac:dyDescent="0.2">
      <c r="E80" s="60"/>
      <c r="F80" s="57"/>
      <c r="G80" s="57"/>
      <c r="H80" s="57"/>
      <c r="I80" s="57"/>
      <c r="J80" s="57"/>
      <c r="K80" s="57"/>
    </row>
    <row r="81" spans="5:11" ht="15" customHeight="1" x14ac:dyDescent="0.2">
      <c r="E81" s="60"/>
      <c r="F81" s="57"/>
      <c r="G81" s="57"/>
      <c r="H81" s="57"/>
      <c r="I81" s="57"/>
      <c r="J81" s="57"/>
      <c r="K81" s="57"/>
    </row>
    <row r="82" spans="5:11" ht="15" customHeight="1" x14ac:dyDescent="0.2">
      <c r="E82" s="60"/>
      <c r="F82" s="57"/>
      <c r="G82" s="57"/>
      <c r="H82" s="57"/>
      <c r="I82" s="57"/>
      <c r="J82" s="57"/>
      <c r="K82" s="57"/>
    </row>
    <row r="83" spans="5:11" ht="15" customHeight="1" x14ac:dyDescent="0.2">
      <c r="E83" s="60"/>
      <c r="F83" s="57"/>
      <c r="G83" s="57"/>
      <c r="H83" s="57"/>
      <c r="I83" s="57"/>
      <c r="J83" s="57"/>
      <c r="K83" s="57"/>
    </row>
    <row r="84" spans="5:11" ht="15" customHeight="1" x14ac:dyDescent="0.2">
      <c r="E84" s="60"/>
      <c r="F84" s="57"/>
      <c r="G84" s="57"/>
      <c r="H84" s="57"/>
      <c r="I84" s="57"/>
      <c r="J84" s="57"/>
      <c r="K84" s="57"/>
    </row>
    <row r="85" spans="5:11" ht="15" customHeight="1" x14ac:dyDescent="0.2">
      <c r="E85" s="60"/>
      <c r="F85" s="57"/>
      <c r="G85" s="57"/>
      <c r="H85" s="57"/>
      <c r="I85" s="57"/>
      <c r="J85" s="57"/>
      <c r="K85" s="57"/>
    </row>
    <row r="86" spans="5:11" ht="15" customHeight="1" x14ac:dyDescent="0.2">
      <c r="E86" s="60"/>
      <c r="F86" s="57"/>
      <c r="G86" s="57"/>
      <c r="H86" s="57"/>
      <c r="I86" s="57"/>
      <c r="J86" s="57"/>
      <c r="K86" s="57"/>
    </row>
    <row r="87" spans="5:11" ht="15" customHeight="1" x14ac:dyDescent="0.2">
      <c r="E87" s="60"/>
      <c r="F87" s="57"/>
      <c r="G87" s="57"/>
      <c r="H87" s="57"/>
      <c r="I87" s="57"/>
      <c r="J87" s="57"/>
      <c r="K87" s="57"/>
    </row>
    <row r="88" spans="5:11" ht="15" customHeight="1" x14ac:dyDescent="0.2">
      <c r="E88" s="60"/>
      <c r="F88" s="57"/>
      <c r="G88" s="57"/>
      <c r="H88" s="57"/>
      <c r="I88" s="57"/>
      <c r="J88" s="57"/>
      <c r="K88" s="57"/>
    </row>
    <row r="89" spans="5:11" ht="15" customHeight="1" x14ac:dyDescent="0.2">
      <c r="E89" s="60"/>
      <c r="F89" s="57"/>
      <c r="G89" s="57"/>
      <c r="H89" s="57"/>
      <c r="I89" s="57"/>
      <c r="J89" s="57"/>
      <c r="K89" s="57"/>
    </row>
    <row r="90" spans="5:11" ht="15" customHeight="1" x14ac:dyDescent="0.2">
      <c r="E90" s="60"/>
      <c r="F90" s="57"/>
      <c r="G90" s="57"/>
      <c r="H90" s="57"/>
      <c r="I90" s="57"/>
      <c r="J90" s="57"/>
      <c r="K90" s="57"/>
    </row>
    <row r="91" spans="5:11" ht="15" customHeight="1" x14ac:dyDescent="0.2">
      <c r="E91" s="60"/>
      <c r="F91" s="57"/>
      <c r="G91" s="57"/>
      <c r="H91" s="57"/>
      <c r="I91" s="57"/>
      <c r="J91" s="57"/>
      <c r="K91" s="57"/>
    </row>
    <row r="92" spans="5:11" ht="15" customHeight="1" x14ac:dyDescent="0.2">
      <c r="E92" s="60"/>
      <c r="F92" s="57"/>
      <c r="G92" s="57"/>
      <c r="H92" s="57"/>
      <c r="I92" s="57"/>
      <c r="J92" s="57"/>
      <c r="K92" s="57"/>
    </row>
    <row r="93" spans="5:11" ht="15" customHeight="1" x14ac:dyDescent="0.2">
      <c r="E93" s="60"/>
      <c r="F93" s="57"/>
      <c r="G93" s="57"/>
      <c r="H93" s="57"/>
      <c r="I93" s="57"/>
      <c r="J93" s="57"/>
      <c r="K93" s="57"/>
    </row>
    <row r="94" spans="5:11" ht="15" customHeight="1" x14ac:dyDescent="0.2">
      <c r="E94" s="60"/>
      <c r="F94" s="57"/>
      <c r="G94" s="57"/>
      <c r="H94" s="57"/>
      <c r="I94" s="57"/>
      <c r="J94" s="57"/>
      <c r="K94" s="57"/>
    </row>
    <row r="95" spans="5:11" ht="15" customHeight="1" x14ac:dyDescent="0.2">
      <c r="E95" s="60"/>
      <c r="F95" s="57"/>
      <c r="G95" s="57"/>
      <c r="H95" s="57"/>
      <c r="I95" s="57"/>
      <c r="J95" s="57"/>
      <c r="K95" s="57"/>
    </row>
    <row r="96" spans="5:11" ht="15" customHeight="1" x14ac:dyDescent="0.2">
      <c r="E96" s="60"/>
      <c r="F96" s="57"/>
      <c r="G96" s="57"/>
      <c r="H96" s="57"/>
      <c r="I96" s="57"/>
      <c r="J96" s="57"/>
      <c r="K96" s="57"/>
    </row>
    <row r="97" spans="5:11" ht="15" customHeight="1" x14ac:dyDescent="0.2">
      <c r="E97" s="60"/>
      <c r="F97" s="57"/>
      <c r="G97" s="57"/>
      <c r="H97" s="57"/>
      <c r="I97" s="57"/>
      <c r="J97" s="57"/>
      <c r="K97" s="57"/>
    </row>
    <row r="98" spans="5:11" ht="15" customHeight="1" x14ac:dyDescent="0.2">
      <c r="E98" s="60"/>
      <c r="F98" s="57"/>
      <c r="G98" s="57"/>
      <c r="H98" s="57"/>
      <c r="I98" s="57"/>
      <c r="J98" s="57"/>
      <c r="K98" s="57"/>
    </row>
    <row r="99" spans="5:11" ht="15" customHeight="1" x14ac:dyDescent="0.2">
      <c r="E99" s="60"/>
      <c r="F99" s="57"/>
      <c r="G99" s="57"/>
      <c r="H99" s="57"/>
      <c r="I99" s="57"/>
      <c r="J99" s="57"/>
      <c r="K99" s="57"/>
    </row>
    <row r="100" spans="5:11" ht="15" customHeight="1" x14ac:dyDescent="0.2">
      <c r="E100" s="60"/>
      <c r="F100" s="57"/>
      <c r="G100" s="57"/>
      <c r="H100" s="57"/>
      <c r="I100" s="57"/>
      <c r="J100" s="57"/>
      <c r="K100" s="57"/>
    </row>
  </sheetData>
  <mergeCells count="13">
    <mergeCell ref="D7:E7"/>
    <mergeCell ref="D8:E8"/>
    <mergeCell ref="I4:K4"/>
    <mergeCell ref="I5:K5"/>
    <mergeCell ref="I6:K6"/>
    <mergeCell ref="I7:K7"/>
    <mergeCell ref="I8:K8"/>
    <mergeCell ref="D1:L1"/>
    <mergeCell ref="D4:E4"/>
    <mergeCell ref="D5:E5"/>
    <mergeCell ref="D6:E6"/>
    <mergeCell ref="D3:F3"/>
    <mergeCell ref="I3:L3"/>
  </mergeCells>
  <pageMargins left="0.7" right="0.7" top="0.75" bottom="0.75" header="0.3" footer="0.3"/>
  <pageSetup paperSize="9" orientation="portrait" horizontalDpi="4294967293" verticalDpi="4294967293"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038EA5-9163-4A61-AC82-77F3D72C95C3}">
  <sheetPr>
    <tabColor rgb="FF9933FF"/>
  </sheetPr>
  <dimension ref="B1:L100"/>
  <sheetViews>
    <sheetView zoomScaleNormal="100" workbookViewId="0"/>
  </sheetViews>
  <sheetFormatPr baseColWidth="10" defaultColWidth="11.42578125" defaultRowHeight="15" customHeight="1" x14ac:dyDescent="0.2"/>
  <cols>
    <col min="1" max="1" width="11.42578125" style="64" customWidth="1"/>
    <col min="2" max="3" width="11.42578125" style="64"/>
    <col min="4" max="4" width="22.140625" style="64" bestFit="1" customWidth="1"/>
    <col min="5" max="5" width="9.5703125" style="64" bestFit="1" customWidth="1"/>
    <col min="6" max="6" width="13.42578125" style="64" bestFit="1" customWidth="1"/>
    <col min="7" max="7" width="16.140625" style="64" bestFit="1" customWidth="1"/>
    <col min="8" max="8" width="15.5703125" style="64" bestFit="1" customWidth="1"/>
    <col min="9" max="9" width="9.42578125" style="64" customWidth="1"/>
    <col min="10" max="10" width="10.5703125" style="64" customWidth="1"/>
    <col min="11" max="11" width="14.42578125" style="64" bestFit="1" customWidth="1"/>
    <col min="12" max="12" width="12.28515625" style="64" bestFit="1" customWidth="1"/>
    <col min="13" max="16384" width="11.42578125" style="64"/>
  </cols>
  <sheetData>
    <row r="1" spans="2:12" ht="19.5" x14ac:dyDescent="0.25">
      <c r="D1" s="131" t="s">
        <v>54</v>
      </c>
      <c r="E1" s="131"/>
      <c r="F1" s="131"/>
      <c r="G1" s="131"/>
      <c r="H1" s="131"/>
      <c r="I1" s="131"/>
      <c r="J1" s="131"/>
      <c r="K1" s="131"/>
      <c r="L1" s="131"/>
    </row>
    <row r="2" spans="2:12" ht="15" customHeight="1" x14ac:dyDescent="0.2">
      <c r="B2" s="65"/>
      <c r="C2" s="65"/>
      <c r="D2" s="72"/>
      <c r="G2" s="65"/>
      <c r="H2" s="65"/>
    </row>
    <row r="3" spans="2:12" ht="15" customHeight="1" x14ac:dyDescent="0.2">
      <c r="B3" s="65"/>
      <c r="C3" s="65"/>
      <c r="D3" s="132" t="s">
        <v>0</v>
      </c>
      <c r="E3" s="132"/>
      <c r="F3" s="132"/>
      <c r="I3" s="132" t="s">
        <v>1</v>
      </c>
      <c r="J3" s="132"/>
      <c r="K3" s="132"/>
      <c r="L3" s="132"/>
    </row>
    <row r="4" spans="2:12" ht="15" customHeight="1" x14ac:dyDescent="0.2">
      <c r="B4" s="65"/>
      <c r="C4" s="65"/>
      <c r="D4" s="134" t="s">
        <v>2</v>
      </c>
      <c r="E4" s="135"/>
      <c r="F4" s="67">
        <f>Simulador!K6</f>
        <v>20000</v>
      </c>
      <c r="G4" s="65"/>
      <c r="H4" s="65"/>
      <c r="I4" s="133" t="s">
        <v>3</v>
      </c>
      <c r="J4" s="133"/>
      <c r="K4" s="133"/>
      <c r="L4" s="73">
        <f>F4/$L$5</f>
        <v>555.55555555555554</v>
      </c>
    </row>
    <row r="5" spans="2:12" ht="15" customHeight="1" x14ac:dyDescent="0.2">
      <c r="B5" s="65"/>
      <c r="C5" s="65"/>
      <c r="D5" s="133" t="s">
        <v>4</v>
      </c>
      <c r="E5" s="133"/>
      <c r="F5" s="68">
        <f>Simulador!K8</f>
        <v>0.28000000000000003</v>
      </c>
      <c r="G5" s="65"/>
      <c r="H5" s="65"/>
      <c r="I5" s="133" t="s">
        <v>5</v>
      </c>
      <c r="J5" s="133"/>
      <c r="K5" s="133"/>
      <c r="L5" s="74">
        <f>F7*12</f>
        <v>36</v>
      </c>
    </row>
    <row r="6" spans="2:12" ht="15" customHeight="1" x14ac:dyDescent="0.2">
      <c r="B6" s="65"/>
      <c r="C6" s="65"/>
      <c r="D6" s="133" t="s">
        <v>19</v>
      </c>
      <c r="E6" s="133"/>
      <c r="F6" s="69">
        <f>F5/12</f>
        <v>2.3333333333333334E-2</v>
      </c>
      <c r="G6" s="65"/>
      <c r="H6" s="65"/>
      <c r="I6" s="133" t="s">
        <v>7</v>
      </c>
      <c r="J6" s="133"/>
      <c r="K6" s="133"/>
      <c r="L6" s="73">
        <f>SUM(I11:I70)</f>
        <v>11531.364333287082</v>
      </c>
    </row>
    <row r="7" spans="2:12" ht="15" customHeight="1" x14ac:dyDescent="0.2">
      <c r="B7" s="65"/>
      <c r="C7" s="65"/>
      <c r="D7" s="133" t="s">
        <v>8</v>
      </c>
      <c r="E7" s="133"/>
      <c r="F7" s="70">
        <f>Simulador!K10</f>
        <v>3</v>
      </c>
      <c r="G7" s="65"/>
      <c r="H7" s="65"/>
      <c r="I7" s="133" t="s">
        <v>9</v>
      </c>
      <c r="J7" s="133"/>
      <c r="K7" s="133"/>
      <c r="L7" s="73">
        <f>L6+F4</f>
        <v>31531.364333287082</v>
      </c>
    </row>
    <row r="8" spans="2:12" ht="15" customHeight="1" x14ac:dyDescent="0.2">
      <c r="B8" s="65"/>
      <c r="C8" s="65"/>
      <c r="D8" s="133" t="s">
        <v>10</v>
      </c>
      <c r="E8" s="133"/>
      <c r="F8" s="71">
        <v>44340</v>
      </c>
      <c r="G8" s="65"/>
      <c r="H8" s="65"/>
      <c r="I8" s="133" t="s">
        <v>11</v>
      </c>
      <c r="J8" s="133"/>
      <c r="K8" s="133"/>
      <c r="L8" s="71">
        <f>IFERROR(DATE(YEAR(Fecha),MONTH(Fecha)+L5,DAY(Fecha)),"")</f>
        <v>45436</v>
      </c>
    </row>
    <row r="9" spans="2:12" ht="15" customHeight="1" x14ac:dyDescent="0.2">
      <c r="B9" s="65"/>
      <c r="C9" s="65"/>
      <c r="D9" s="66"/>
      <c r="G9" s="65"/>
      <c r="H9" s="65"/>
    </row>
    <row r="10" spans="2:12" ht="15" customHeight="1" x14ac:dyDescent="0.2">
      <c r="B10" s="65"/>
      <c r="C10" s="65"/>
      <c r="D10" s="66"/>
      <c r="E10" s="75" t="s">
        <v>12</v>
      </c>
      <c r="F10" s="75" t="s">
        <v>13</v>
      </c>
      <c r="G10" s="75" t="s">
        <v>14</v>
      </c>
      <c r="H10" s="75" t="s">
        <v>3</v>
      </c>
      <c r="I10" s="75" t="s">
        <v>15</v>
      </c>
      <c r="J10" s="75" t="s">
        <v>16</v>
      </c>
      <c r="K10" s="75" t="s">
        <v>17</v>
      </c>
    </row>
    <row r="11" spans="2:12" ht="15" customHeight="1" x14ac:dyDescent="0.2">
      <c r="B11" s="65"/>
      <c r="C11" s="65"/>
      <c r="D11" s="65"/>
      <c r="E11" s="78">
        <f>IF(SUM(ROWS($E$11:E11))&gt;$L$5,"",SUM(ROWS($E$11:E11)))</f>
        <v>1</v>
      </c>
      <c r="F11" s="76">
        <f t="shared" ref="F11:F42" si="0">IFERROR(DATE(YEAR(Fecha),MONTH(Fecha)+E11,DAY(Fecha)),"")</f>
        <v>44371</v>
      </c>
      <c r="G11" s="77">
        <f>-IF(LEN(E11)&gt;0,IFERROR(FV(F5/12,E11-1,-$L$4,F4),""),"")</f>
        <v>20000</v>
      </c>
      <c r="H11" s="77">
        <f>IF(LEN(E11)&gt;0,(J11-I11),"")</f>
        <v>101.8518518518519</v>
      </c>
      <c r="I11" s="77">
        <f>IF(LEN(E11)&gt;0,G11*$F$6,"")</f>
        <v>466.66666666666669</v>
      </c>
      <c r="J11" s="77">
        <f t="shared" ref="J11:J42" si="1">IF(LEN(E11)&gt;0,($L$4)*((1+$F$6)^E11),"")</f>
        <v>568.51851851851859</v>
      </c>
      <c r="K11" s="77">
        <f>IFERROR((G11-H11),"")</f>
        <v>19898.14814814815</v>
      </c>
    </row>
    <row r="12" spans="2:12" ht="15" customHeight="1" x14ac:dyDescent="0.2">
      <c r="B12" s="65"/>
      <c r="C12" s="65"/>
      <c r="D12" s="65"/>
      <c r="E12" s="78">
        <f>IF(SUM(ROWS($E$11:E12))&gt;$L$5,"",SUM(ROWS($E$11:E12)))</f>
        <v>2</v>
      </c>
      <c r="F12" s="76">
        <f t="shared" si="0"/>
        <v>44401</v>
      </c>
      <c r="G12" s="77">
        <f>IF(LEN(E12)&gt;0,IFERROR((K11),""),"")</f>
        <v>19898.14814814815</v>
      </c>
      <c r="H12" s="77">
        <f t="shared" ref="H12:H70" si="2">IF(LEN(E12)&gt;0,(J12-I12),"")</f>
        <v>117.49382716049388</v>
      </c>
      <c r="I12" s="77">
        <f t="shared" ref="I12:I70" si="3">IF(LEN(E12)&gt;0,G12*$F$6,"")</f>
        <v>464.29012345679018</v>
      </c>
      <c r="J12" s="77">
        <f t="shared" si="1"/>
        <v>581.78395061728406</v>
      </c>
      <c r="K12" s="77">
        <f t="shared" ref="K12:K70" si="4">IFERROR((G12-H12),"")</f>
        <v>19780.654320987655</v>
      </c>
    </row>
    <row r="13" spans="2:12" ht="15" customHeight="1" x14ac:dyDescent="0.2">
      <c r="E13" s="78">
        <f>IF(SUM(ROWS($E$11:E13))&gt;$L$5,"",SUM(ROWS($E$11:E13)))</f>
        <v>3</v>
      </c>
      <c r="F13" s="76">
        <f t="shared" si="0"/>
        <v>44432</v>
      </c>
      <c r="G13" s="77">
        <f t="shared" ref="G13:G70" si="5">IF(LEN(E13)&gt;0,IFERROR((K12),""),"")</f>
        <v>19780.654320987655</v>
      </c>
      <c r="H13" s="77">
        <f t="shared" si="2"/>
        <v>133.81030864197538</v>
      </c>
      <c r="I13" s="77">
        <f t="shared" si="3"/>
        <v>461.54860082304532</v>
      </c>
      <c r="J13" s="77">
        <f t="shared" si="1"/>
        <v>595.3589094650207</v>
      </c>
      <c r="K13" s="77">
        <f t="shared" si="4"/>
        <v>19646.844012345678</v>
      </c>
    </row>
    <row r="14" spans="2:12" ht="15" customHeight="1" x14ac:dyDescent="0.2">
      <c r="E14" s="78">
        <f>IF(SUM(ROWS($E$11:E14))&gt;$L$5,"",SUM(ROWS($E$11:E14)))</f>
        <v>4</v>
      </c>
      <c r="F14" s="76">
        <f t="shared" si="0"/>
        <v>44463</v>
      </c>
      <c r="G14" s="77">
        <f t="shared" si="5"/>
        <v>19646.844012345678</v>
      </c>
      <c r="H14" s="77">
        <f t="shared" si="2"/>
        <v>150.82425706447208</v>
      </c>
      <c r="I14" s="77">
        <f t="shared" si="3"/>
        <v>458.42636028806584</v>
      </c>
      <c r="J14" s="77">
        <f t="shared" si="1"/>
        <v>609.25061735253792</v>
      </c>
      <c r="K14" s="77">
        <f t="shared" si="4"/>
        <v>19496.019755281206</v>
      </c>
    </row>
    <row r="15" spans="2:12" ht="15" customHeight="1" x14ac:dyDescent="0.2">
      <c r="E15" s="78">
        <f>IF(SUM(ROWS($E$11:E15))&gt;$L$5,"",SUM(ROWS($E$11:E15)))</f>
        <v>5</v>
      </c>
      <c r="F15" s="76">
        <f t="shared" si="0"/>
        <v>44493</v>
      </c>
      <c r="G15" s="77">
        <f t="shared" si="5"/>
        <v>19496.019755281206</v>
      </c>
      <c r="H15" s="77">
        <f t="shared" si="2"/>
        <v>168.55933746753561</v>
      </c>
      <c r="I15" s="77">
        <f t="shared" si="3"/>
        <v>454.90712762322818</v>
      </c>
      <c r="J15" s="77">
        <f t="shared" si="1"/>
        <v>623.46646509076379</v>
      </c>
      <c r="K15" s="77">
        <f t="shared" si="4"/>
        <v>19327.460417813669</v>
      </c>
    </row>
    <row r="16" spans="2:12" ht="15" customHeight="1" x14ac:dyDescent="0.2">
      <c r="E16" s="78">
        <f>IF(SUM(ROWS($E$11:E16))&gt;$L$5,"",SUM(ROWS($E$11:E16)))</f>
        <v>6</v>
      </c>
      <c r="F16" s="76">
        <f t="shared" si="0"/>
        <v>44524</v>
      </c>
      <c r="G16" s="77">
        <f t="shared" si="5"/>
        <v>19327.460417813669</v>
      </c>
      <c r="H16" s="77">
        <f t="shared" si="2"/>
        <v>187.03993952722948</v>
      </c>
      <c r="I16" s="77">
        <f t="shared" si="3"/>
        <v>450.97407641565229</v>
      </c>
      <c r="J16" s="77">
        <f t="shared" si="1"/>
        <v>638.01401594288177</v>
      </c>
      <c r="K16" s="77">
        <f t="shared" si="4"/>
        <v>19140.42047828644</v>
      </c>
    </row>
    <row r="17" spans="5:11" ht="15" customHeight="1" x14ac:dyDescent="0.2">
      <c r="E17" s="78">
        <f>IF(SUM(ROWS($E$11:E17))&gt;$L$5,"",SUM(ROWS($E$11:E17)))</f>
        <v>7</v>
      </c>
      <c r="F17" s="76">
        <f t="shared" si="0"/>
        <v>44554</v>
      </c>
      <c r="G17" s="77">
        <f t="shared" si="5"/>
        <v>19140.42047828644</v>
      </c>
      <c r="H17" s="77">
        <f t="shared" si="2"/>
        <v>206.29119848819875</v>
      </c>
      <c r="I17" s="77">
        <f t="shared" si="3"/>
        <v>446.60981116001693</v>
      </c>
      <c r="J17" s="77">
        <f t="shared" si="1"/>
        <v>652.90100964821568</v>
      </c>
      <c r="K17" s="77">
        <f t="shared" si="4"/>
        <v>18934.129279798242</v>
      </c>
    </row>
    <row r="18" spans="5:11" ht="15" customHeight="1" x14ac:dyDescent="0.2">
      <c r="E18" s="78">
        <f>IF(SUM(ROWS($E$11:E18))&gt;$L$5,"",SUM(ROWS($E$11:E18)))</f>
        <v>8</v>
      </c>
      <c r="F18" s="76">
        <f t="shared" si="0"/>
        <v>44585</v>
      </c>
      <c r="G18" s="77">
        <f t="shared" si="5"/>
        <v>18934.129279798242</v>
      </c>
      <c r="H18" s="77">
        <f t="shared" si="2"/>
        <v>226.33901667804844</v>
      </c>
      <c r="I18" s="77">
        <f t="shared" si="3"/>
        <v>441.79634986195902</v>
      </c>
      <c r="J18" s="77">
        <f t="shared" si="1"/>
        <v>668.13536654000745</v>
      </c>
      <c r="K18" s="77">
        <f t="shared" si="4"/>
        <v>18707.790263120194</v>
      </c>
    </row>
    <row r="19" spans="5:11" ht="15" customHeight="1" x14ac:dyDescent="0.2">
      <c r="E19" s="78">
        <f>IF(SUM(ROWS($E$11:E19))&gt;$L$5,"",SUM(ROWS($E$11:E19)))</f>
        <v>9</v>
      </c>
      <c r="F19" s="76">
        <f t="shared" si="0"/>
        <v>44616</v>
      </c>
      <c r="G19" s="77">
        <f t="shared" si="5"/>
        <v>18707.790263120194</v>
      </c>
      <c r="H19" s="77">
        <f t="shared" si="2"/>
        <v>247.21008561980312</v>
      </c>
      <c r="I19" s="77">
        <f t="shared" si="3"/>
        <v>436.51510613947124</v>
      </c>
      <c r="J19" s="77">
        <f t="shared" si="1"/>
        <v>683.72519175927437</v>
      </c>
      <c r="K19" s="77">
        <f t="shared" si="4"/>
        <v>18460.580177500389</v>
      </c>
    </row>
    <row r="20" spans="5:11" ht="15" customHeight="1" x14ac:dyDescent="0.2">
      <c r="E20" s="78">
        <f>IF(SUM(ROWS($E$11:E20))&gt;$L$5,"",SUM(ROWS($E$11:E20)))</f>
        <v>10</v>
      </c>
      <c r="F20" s="76">
        <f t="shared" si="0"/>
        <v>44644</v>
      </c>
      <c r="G20" s="77">
        <f t="shared" si="5"/>
        <v>18460.580177500389</v>
      </c>
      <c r="H20" s="77">
        <f t="shared" si="2"/>
        <v>268.93190875864838</v>
      </c>
      <c r="I20" s="77">
        <f t="shared" si="3"/>
        <v>430.74687080834241</v>
      </c>
      <c r="J20" s="77">
        <f t="shared" si="1"/>
        <v>699.67877956699078</v>
      </c>
      <c r="K20" s="77">
        <f t="shared" si="4"/>
        <v>18191.648268741741</v>
      </c>
    </row>
    <row r="21" spans="5:11" ht="15" customHeight="1" x14ac:dyDescent="0.2">
      <c r="E21" s="78">
        <f>IF(SUM(ROWS($E$11:E21))&gt;$L$5,"",SUM(ROWS($E$11:E21)))</f>
        <v>11</v>
      </c>
      <c r="F21" s="76">
        <f t="shared" si="0"/>
        <v>44675</v>
      </c>
      <c r="G21" s="77">
        <f t="shared" si="5"/>
        <v>18191.648268741741</v>
      </c>
      <c r="H21" s="77">
        <f t="shared" si="2"/>
        <v>291.53282481958001</v>
      </c>
      <c r="I21" s="77">
        <f t="shared" si="3"/>
        <v>424.47179293730733</v>
      </c>
      <c r="J21" s="77">
        <f t="shared" si="1"/>
        <v>716.00461775688734</v>
      </c>
      <c r="K21" s="77">
        <f t="shared" si="4"/>
        <v>17900.115443922161</v>
      </c>
    </row>
    <row r="22" spans="5:11" ht="15" customHeight="1" x14ac:dyDescent="0.2">
      <c r="E22" s="78">
        <f>IF(SUM(ROWS($E$11:E22))&gt;$L$5,"",SUM(ROWS($E$11:E22)))</f>
        <v>12</v>
      </c>
      <c r="F22" s="76">
        <f t="shared" si="0"/>
        <v>44705</v>
      </c>
      <c r="G22" s="77">
        <f t="shared" si="5"/>
        <v>17900.115443922161</v>
      </c>
      <c r="H22" s="77">
        <f t="shared" si="2"/>
        <v>315.04203181303092</v>
      </c>
      <c r="I22" s="77">
        <f t="shared" si="3"/>
        <v>417.66936035818378</v>
      </c>
      <c r="J22" s="77">
        <f t="shared" si="1"/>
        <v>732.7113921712147</v>
      </c>
      <c r="K22" s="77">
        <f t="shared" si="4"/>
        <v>17585.07341210913</v>
      </c>
    </row>
    <row r="23" spans="5:11" ht="15" customHeight="1" x14ac:dyDescent="0.2">
      <c r="E23" s="78">
        <f>IF(SUM(ROWS($E$11:E23))&gt;$L$5,"",SUM(ROWS($E$11:E23)))</f>
        <v>13</v>
      </c>
      <c r="F23" s="76">
        <f t="shared" si="0"/>
        <v>44736</v>
      </c>
      <c r="G23" s="77">
        <f t="shared" si="5"/>
        <v>17585.07341210913</v>
      </c>
      <c r="H23" s="77">
        <f t="shared" si="2"/>
        <v>339.48961170599671</v>
      </c>
      <c r="I23" s="77">
        <f t="shared" si="3"/>
        <v>410.31837961587973</v>
      </c>
      <c r="J23" s="77">
        <f t="shared" si="1"/>
        <v>749.80799132187644</v>
      </c>
      <c r="K23" s="77">
        <f t="shared" si="4"/>
        <v>17245.583800403132</v>
      </c>
    </row>
    <row r="24" spans="5:11" ht="15" customHeight="1" x14ac:dyDescent="0.2">
      <c r="E24" s="78">
        <f>IF(SUM(ROWS($E$11:E24))&gt;$L$5,"",SUM(ROWS($E$11:E24)))</f>
        <v>14</v>
      </c>
      <c r="F24" s="76">
        <f t="shared" si="0"/>
        <v>44766</v>
      </c>
      <c r="G24" s="77">
        <f t="shared" si="5"/>
        <v>17245.583800403132</v>
      </c>
      <c r="H24" s="77">
        <f t="shared" si="2"/>
        <v>364.90655577664717</v>
      </c>
      <c r="I24" s="77">
        <f t="shared" si="3"/>
        <v>402.39695534273977</v>
      </c>
      <c r="J24" s="77">
        <f t="shared" si="1"/>
        <v>767.30351111938694</v>
      </c>
      <c r="K24" s="77">
        <f t="shared" si="4"/>
        <v>16880.677244626484</v>
      </c>
    </row>
    <row r="25" spans="5:11" ht="15" customHeight="1" x14ac:dyDescent="0.2">
      <c r="E25" s="78">
        <f>IF(SUM(ROWS($E$11:E25))&gt;$L$5,"",SUM(ROWS($E$11:E25)))</f>
        <v>15</v>
      </c>
      <c r="F25" s="76">
        <f t="shared" si="0"/>
        <v>44797</v>
      </c>
      <c r="G25" s="77">
        <f t="shared" si="5"/>
        <v>16880.677244626484</v>
      </c>
      <c r="H25" s="77">
        <f t="shared" si="2"/>
        <v>391.32479067088804</v>
      </c>
      <c r="I25" s="77">
        <f t="shared" si="3"/>
        <v>393.88246904128465</v>
      </c>
      <c r="J25" s="77">
        <f t="shared" si="1"/>
        <v>785.20725971217269</v>
      </c>
      <c r="K25" s="77">
        <f t="shared" si="4"/>
        <v>16489.352453955595</v>
      </c>
    </row>
    <row r="26" spans="5:11" ht="15" customHeight="1" x14ac:dyDescent="0.2">
      <c r="E26" s="78">
        <f>IF(SUM(ROWS($E$11:E26))&gt;$L$5,"",SUM(ROWS($E$11:E26)))</f>
        <v>16</v>
      </c>
      <c r="F26" s="76">
        <f t="shared" si="0"/>
        <v>44828</v>
      </c>
      <c r="G26" s="77">
        <f t="shared" si="5"/>
        <v>16489.352453955595</v>
      </c>
      <c r="H26" s="77">
        <f t="shared" si="2"/>
        <v>418.7772051798263</v>
      </c>
      <c r="I26" s="77">
        <f t="shared" si="3"/>
        <v>384.75155725896389</v>
      </c>
      <c r="J26" s="77">
        <f t="shared" si="1"/>
        <v>803.52876243879018</v>
      </c>
      <c r="K26" s="77">
        <f t="shared" si="4"/>
        <v>16070.575248775769</v>
      </c>
    </row>
    <row r="27" spans="5:11" ht="15" customHeight="1" x14ac:dyDescent="0.2">
      <c r="E27" s="78">
        <f>IF(SUM(ROWS($E$11:E27))&gt;$L$5,"",SUM(ROWS($E$11:E27)))</f>
        <v>17</v>
      </c>
      <c r="F27" s="76">
        <f t="shared" si="0"/>
        <v>44858</v>
      </c>
      <c r="G27" s="77">
        <f t="shared" si="5"/>
        <v>16070.575248775769</v>
      </c>
      <c r="H27" s="77">
        <f t="shared" si="2"/>
        <v>447.29767775759404</v>
      </c>
      <c r="I27" s="77">
        <f t="shared" si="3"/>
        <v>374.98008913810128</v>
      </c>
      <c r="J27" s="77">
        <f t="shared" si="1"/>
        <v>822.27776689569532</v>
      </c>
      <c r="K27" s="77">
        <f t="shared" si="4"/>
        <v>15623.277571018176</v>
      </c>
    </row>
    <row r="28" spans="5:11" ht="15" customHeight="1" x14ac:dyDescent="0.2">
      <c r="E28" s="78">
        <f>IF(SUM(ROWS($E$11:E28))&gt;$L$5,"",SUM(ROWS($E$11:E28)))</f>
        <v>18</v>
      </c>
      <c r="F28" s="76">
        <f t="shared" si="0"/>
        <v>44889</v>
      </c>
      <c r="G28" s="77">
        <f t="shared" si="5"/>
        <v>15623.277571018176</v>
      </c>
      <c r="H28" s="77">
        <f t="shared" si="2"/>
        <v>476.92110479950406</v>
      </c>
      <c r="I28" s="77">
        <f t="shared" si="3"/>
        <v>364.54314332375748</v>
      </c>
      <c r="J28" s="77">
        <f t="shared" si="1"/>
        <v>841.46424812326154</v>
      </c>
      <c r="K28" s="77">
        <f t="shared" si="4"/>
        <v>15146.356466218673</v>
      </c>
    </row>
    <row r="29" spans="5:11" ht="15" customHeight="1" x14ac:dyDescent="0.2">
      <c r="E29" s="78">
        <f>IF(SUM(ROWS($E$11:E29))&gt;$L$5,"",SUM(ROWS($E$11:E29)))</f>
        <v>19</v>
      </c>
      <c r="F29" s="76">
        <f t="shared" si="0"/>
        <v>44919</v>
      </c>
      <c r="G29" s="77">
        <f t="shared" si="5"/>
        <v>15146.356466218673</v>
      </c>
      <c r="H29" s="77">
        <f t="shared" si="2"/>
        <v>507.68342970103538</v>
      </c>
      <c r="I29" s="77">
        <f t="shared" si="3"/>
        <v>353.41498421176902</v>
      </c>
      <c r="J29" s="77">
        <f t="shared" si="1"/>
        <v>861.0984139128044</v>
      </c>
      <c r="K29" s="77">
        <f t="shared" si="4"/>
        <v>14638.673036517637</v>
      </c>
    </row>
    <row r="30" spans="5:11" ht="15" customHeight="1" x14ac:dyDescent="0.2">
      <c r="E30" s="78">
        <f>IF(SUM(ROWS($E$11:E30))&gt;$L$5,"",SUM(ROWS($E$11:E30)))</f>
        <v>20</v>
      </c>
      <c r="F30" s="76">
        <f t="shared" si="0"/>
        <v>44950</v>
      </c>
      <c r="G30" s="77">
        <f t="shared" si="5"/>
        <v>14638.673036517637</v>
      </c>
      <c r="H30" s="77">
        <f t="shared" si="2"/>
        <v>539.6216727186918</v>
      </c>
      <c r="I30" s="77">
        <f t="shared" si="3"/>
        <v>341.56903751874489</v>
      </c>
      <c r="J30" s="77">
        <f t="shared" si="1"/>
        <v>881.19071023743663</v>
      </c>
      <c r="K30" s="77">
        <f t="shared" si="4"/>
        <v>14099.051363798946</v>
      </c>
    </row>
    <row r="31" spans="5:11" ht="15" customHeight="1" x14ac:dyDescent="0.2">
      <c r="E31" s="78">
        <f>IF(SUM(ROWS($E$11:E31))&gt;$L$5,"",SUM(ROWS($E$11:E31)))</f>
        <v>21</v>
      </c>
      <c r="F31" s="76">
        <f t="shared" si="0"/>
        <v>44981</v>
      </c>
      <c r="G31" s="77">
        <f t="shared" si="5"/>
        <v>14099.051363798946</v>
      </c>
      <c r="H31" s="77">
        <f t="shared" si="2"/>
        <v>572.77396165433493</v>
      </c>
      <c r="I31" s="77">
        <f t="shared" si="3"/>
        <v>328.97786515530873</v>
      </c>
      <c r="J31" s="77">
        <f t="shared" si="1"/>
        <v>901.7518268096436</v>
      </c>
      <c r="K31" s="77">
        <f t="shared" si="4"/>
        <v>13526.277402144611</v>
      </c>
    </row>
    <row r="32" spans="5:11" ht="15" customHeight="1" x14ac:dyDescent="0.2">
      <c r="E32" s="78">
        <f>IF(SUM(ROWS($E$11:E32))&gt;$L$5,"",SUM(ROWS($E$11:E32)))</f>
        <v>22</v>
      </c>
      <c r="F32" s="76">
        <f t="shared" si="0"/>
        <v>45009</v>
      </c>
      <c r="G32" s="77">
        <f t="shared" si="5"/>
        <v>13526.277402144611</v>
      </c>
      <c r="H32" s="77">
        <f t="shared" si="2"/>
        <v>607.17956338516115</v>
      </c>
      <c r="I32" s="77">
        <f t="shared" si="3"/>
        <v>315.61313938337429</v>
      </c>
      <c r="J32" s="77">
        <f t="shared" si="1"/>
        <v>922.79270276853538</v>
      </c>
      <c r="K32" s="77">
        <f t="shared" si="4"/>
        <v>12919.09783875945</v>
      </c>
    </row>
    <row r="33" spans="5:11" ht="15" customHeight="1" x14ac:dyDescent="0.2">
      <c r="E33" s="78">
        <f>IF(SUM(ROWS($E$11:E33))&gt;$L$5,"",SUM(ROWS($E$11:E33)))</f>
        <v>23</v>
      </c>
      <c r="F33" s="76">
        <f t="shared" si="0"/>
        <v>45040</v>
      </c>
      <c r="G33" s="77">
        <f t="shared" si="5"/>
        <v>12919.09783875945</v>
      </c>
      <c r="H33" s="77">
        <f t="shared" si="2"/>
        <v>642.87891626208068</v>
      </c>
      <c r="I33" s="77">
        <f t="shared" si="3"/>
        <v>301.44561623772051</v>
      </c>
      <c r="J33" s="77">
        <f t="shared" si="1"/>
        <v>944.32453249980119</v>
      </c>
      <c r="K33" s="77">
        <f t="shared" si="4"/>
        <v>12276.218922497368</v>
      </c>
    </row>
    <row r="34" spans="5:11" ht="15" customHeight="1" x14ac:dyDescent="0.2">
      <c r="E34" s="78">
        <f>IF(SUM(ROWS($E$11:E34))&gt;$L$5,"",SUM(ROWS($E$11:E34)))</f>
        <v>24</v>
      </c>
      <c r="F34" s="76">
        <f t="shared" si="0"/>
        <v>45070</v>
      </c>
      <c r="G34" s="77">
        <f t="shared" si="5"/>
        <v>12276.218922497368</v>
      </c>
      <c r="H34" s="77">
        <f t="shared" si="2"/>
        <v>679.91366339985802</v>
      </c>
      <c r="I34" s="77">
        <f t="shared" si="3"/>
        <v>286.44510819160524</v>
      </c>
      <c r="J34" s="77">
        <f t="shared" si="1"/>
        <v>966.35877159146332</v>
      </c>
      <c r="K34" s="77">
        <f t="shared" si="4"/>
        <v>11596.305259097509</v>
      </c>
    </row>
    <row r="35" spans="5:11" ht="15" customHeight="1" x14ac:dyDescent="0.2">
      <c r="E35" s="78">
        <f>IF(SUM(ROWS($E$11:E35))&gt;$L$5,"",SUM(ROWS($E$11:E35)))</f>
        <v>25</v>
      </c>
      <c r="F35" s="76">
        <f t="shared" si="0"/>
        <v>45101</v>
      </c>
      <c r="G35" s="77">
        <f t="shared" si="5"/>
        <v>11596.305259097509</v>
      </c>
      <c r="H35" s="77">
        <f t="shared" si="2"/>
        <v>718.32668688298895</v>
      </c>
      <c r="I35" s="77">
        <f t="shared" si="3"/>
        <v>270.58045604560857</v>
      </c>
      <c r="J35" s="77">
        <f t="shared" si="1"/>
        <v>988.90714292859752</v>
      </c>
      <c r="K35" s="77">
        <f t="shared" si="4"/>
        <v>10877.978572214521</v>
      </c>
    </row>
    <row r="36" spans="5:11" ht="15" customHeight="1" x14ac:dyDescent="0.2">
      <c r="E36" s="78">
        <f>IF(SUM(ROWS($E$11:E36))&gt;$L$5,"",SUM(ROWS($E$11:E36)))</f>
        <v>26</v>
      </c>
      <c r="F36" s="76">
        <f t="shared" si="0"/>
        <v>45131</v>
      </c>
      <c r="G36" s="77">
        <f t="shared" si="5"/>
        <v>10877.978572214521</v>
      </c>
      <c r="H36" s="77">
        <f t="shared" si="2"/>
        <v>758.16214291192614</v>
      </c>
      <c r="I36" s="77">
        <f t="shared" si="3"/>
        <v>253.81950001833883</v>
      </c>
      <c r="J36" s="77">
        <f t="shared" si="1"/>
        <v>1011.9816429302649</v>
      </c>
      <c r="K36" s="77">
        <f t="shared" si="4"/>
        <v>10119.816429302595</v>
      </c>
    </row>
    <row r="37" spans="5:11" ht="15" customHeight="1" x14ac:dyDescent="0.2">
      <c r="E37" s="78">
        <f>IF(SUM(ROWS($E$11:E37))&gt;$L$5,"",SUM(ROWS($E$11:E37)))</f>
        <v>27</v>
      </c>
      <c r="F37" s="76">
        <f t="shared" si="0"/>
        <v>45162</v>
      </c>
      <c r="G37" s="77">
        <f t="shared" si="5"/>
        <v>10119.816429302595</v>
      </c>
      <c r="H37" s="77">
        <f t="shared" si="2"/>
        <v>799.46549791491066</v>
      </c>
      <c r="I37" s="77">
        <f t="shared" si="3"/>
        <v>236.12905001706056</v>
      </c>
      <c r="J37" s="77">
        <f t="shared" si="1"/>
        <v>1035.5945479319712</v>
      </c>
      <c r="K37" s="77">
        <f t="shared" si="4"/>
        <v>9320.3509313876839</v>
      </c>
    </row>
    <row r="38" spans="5:11" ht="15" customHeight="1" x14ac:dyDescent="0.2">
      <c r="E38" s="78">
        <f>IF(SUM(ROWS($E$11:E38))&gt;$L$5,"",SUM(ROWS($E$11:E38)))</f>
        <v>28</v>
      </c>
      <c r="F38" s="76">
        <f t="shared" si="0"/>
        <v>45193</v>
      </c>
      <c r="G38" s="77">
        <f t="shared" si="5"/>
        <v>9320.3509313876839</v>
      </c>
      <c r="H38" s="77">
        <f t="shared" si="2"/>
        <v>842.28356565133788</v>
      </c>
      <c r="I38" s="77">
        <f t="shared" si="3"/>
        <v>217.47485506571263</v>
      </c>
      <c r="J38" s="77">
        <f t="shared" si="1"/>
        <v>1059.7584207170505</v>
      </c>
      <c r="K38" s="77">
        <f t="shared" si="4"/>
        <v>8478.0673657363459</v>
      </c>
    </row>
    <row r="39" spans="5:11" ht="15" customHeight="1" x14ac:dyDescent="0.2">
      <c r="E39" s="78">
        <f>IF(SUM(ROWS($E$11:E39))&gt;$L$5,"",SUM(ROWS($E$11:E39)))</f>
        <v>29</v>
      </c>
      <c r="F39" s="76">
        <f t="shared" si="0"/>
        <v>45223</v>
      </c>
      <c r="G39" s="77">
        <f t="shared" si="5"/>
        <v>8478.0673657363459</v>
      </c>
      <c r="H39" s="77">
        <f t="shared" si="2"/>
        <v>886.66454533326703</v>
      </c>
      <c r="I39" s="77">
        <f t="shared" si="3"/>
        <v>197.8215718671814</v>
      </c>
      <c r="J39" s="77">
        <f t="shared" si="1"/>
        <v>1084.4861172004485</v>
      </c>
      <c r="K39" s="77">
        <f t="shared" si="4"/>
        <v>7591.4028204030792</v>
      </c>
    </row>
    <row r="40" spans="5:11" ht="15" customHeight="1" x14ac:dyDescent="0.2">
      <c r="E40" s="78">
        <f>IF(SUM(ROWS($E$11:E40))&gt;$L$5,"",SUM(ROWS($E$11:E40)))</f>
        <v>30</v>
      </c>
      <c r="F40" s="76">
        <f t="shared" si="0"/>
        <v>45254</v>
      </c>
      <c r="G40" s="77">
        <f t="shared" si="5"/>
        <v>7591.4028204030792</v>
      </c>
      <c r="H40" s="77">
        <f t="shared" si="2"/>
        <v>932.65806079238723</v>
      </c>
      <c r="I40" s="77">
        <f t="shared" si="3"/>
        <v>177.13273247607185</v>
      </c>
      <c r="J40" s="77">
        <f t="shared" si="1"/>
        <v>1109.7907932684591</v>
      </c>
      <c r="K40" s="77">
        <f t="shared" si="4"/>
        <v>6658.7447596106922</v>
      </c>
    </row>
    <row r="41" spans="5:11" ht="15" customHeight="1" x14ac:dyDescent="0.2">
      <c r="E41" s="78">
        <f>IF(SUM(ROWS($E$11:E41))&gt;$L$5,"",SUM(ROWS($E$11:E41)))</f>
        <v>31</v>
      </c>
      <c r="F41" s="76">
        <f t="shared" si="0"/>
        <v>45284</v>
      </c>
      <c r="G41" s="77">
        <f t="shared" si="5"/>
        <v>6658.7447596106922</v>
      </c>
      <c r="H41" s="77">
        <f t="shared" si="2"/>
        <v>980.31520072047374</v>
      </c>
      <c r="I41" s="77">
        <f t="shared" si="3"/>
        <v>155.37071105758284</v>
      </c>
      <c r="J41" s="77">
        <f t="shared" si="1"/>
        <v>1135.6859117780566</v>
      </c>
      <c r="K41" s="77">
        <f t="shared" si="4"/>
        <v>5678.4295588902187</v>
      </c>
    </row>
    <row r="42" spans="5:11" ht="15" customHeight="1" x14ac:dyDescent="0.2">
      <c r="E42" s="78">
        <f>IF(SUM(ROWS($E$11:E42))&gt;$L$5,"",SUM(ROWS($E$11:E42)))</f>
        <v>32</v>
      </c>
      <c r="F42" s="76">
        <f t="shared" si="0"/>
        <v>45315</v>
      </c>
      <c r="G42" s="77">
        <f t="shared" si="5"/>
        <v>5678.4295588902187</v>
      </c>
      <c r="H42" s="77">
        <f t="shared" si="2"/>
        <v>1029.6885600121061</v>
      </c>
      <c r="I42" s="77">
        <f t="shared" si="3"/>
        <v>132.49668970743843</v>
      </c>
      <c r="J42" s="77">
        <f t="shared" si="1"/>
        <v>1162.1852497195446</v>
      </c>
      <c r="K42" s="77">
        <f t="shared" si="4"/>
        <v>4648.7409988781128</v>
      </c>
    </row>
    <row r="43" spans="5:11" ht="15" customHeight="1" x14ac:dyDescent="0.2">
      <c r="E43" s="78">
        <f>IF(SUM(ROWS($E$11:E43))&gt;$L$5,"",SUM(ROWS($E$11:E43)))</f>
        <v>33</v>
      </c>
      <c r="F43" s="76">
        <f t="shared" ref="F43:F70" si="6">IFERROR(DATE(YEAR(Fecha),MONTH(Fecha)+E43,DAY(Fecha)),"")</f>
        <v>45346</v>
      </c>
      <c r="G43" s="77">
        <f t="shared" si="5"/>
        <v>4648.7409988781128</v>
      </c>
      <c r="H43" s="77">
        <f t="shared" si="2"/>
        <v>1080.8322822391779</v>
      </c>
      <c r="I43" s="77">
        <f t="shared" si="3"/>
        <v>108.47062330715598</v>
      </c>
      <c r="J43" s="77">
        <f t="shared" ref="J43:J70" si="7">IF(LEN(E43)&gt;0,($L$4)*((1+$F$6)^E43),"")</f>
        <v>1189.3029055463339</v>
      </c>
      <c r="K43" s="77">
        <f t="shared" si="4"/>
        <v>3567.9087166389349</v>
      </c>
    </row>
    <row r="44" spans="5:11" ht="15" customHeight="1" x14ac:dyDescent="0.2">
      <c r="E44" s="78">
        <f>IF(SUM(ROWS($E$11:E44))&gt;$L$5,"",SUM(ROWS($E$11:E44)))</f>
        <v>34</v>
      </c>
      <c r="F44" s="76">
        <f t="shared" si="6"/>
        <v>45375</v>
      </c>
      <c r="G44" s="77">
        <f t="shared" si="5"/>
        <v>3567.9087166389349</v>
      </c>
      <c r="H44" s="77">
        <f t="shared" si="2"/>
        <v>1133.8021032875067</v>
      </c>
      <c r="I44" s="77">
        <f t="shared" si="3"/>
        <v>83.251203388241819</v>
      </c>
      <c r="J44" s="77">
        <f t="shared" si="7"/>
        <v>1217.0533066757484</v>
      </c>
      <c r="K44" s="77">
        <f t="shared" si="4"/>
        <v>2434.1066133514282</v>
      </c>
    </row>
    <row r="45" spans="5:11" ht="15" customHeight="1" x14ac:dyDescent="0.2">
      <c r="E45" s="78">
        <f>IF(SUM(ROWS($E$11:E45))&gt;$L$5,"",SUM(ROWS($E$11:E45)))</f>
        <v>35</v>
      </c>
      <c r="F45" s="76">
        <f t="shared" si="6"/>
        <v>45406</v>
      </c>
      <c r="G45" s="77">
        <f t="shared" si="5"/>
        <v>2434.1066133514282</v>
      </c>
      <c r="H45" s="77">
        <f t="shared" si="2"/>
        <v>1188.6553961866493</v>
      </c>
      <c r="I45" s="77">
        <f t="shared" si="3"/>
        <v>56.795820978199991</v>
      </c>
      <c r="J45" s="77">
        <f t="shared" si="7"/>
        <v>1245.4512171648494</v>
      </c>
      <c r="K45" s="77">
        <f t="shared" si="4"/>
        <v>1245.4512171647789</v>
      </c>
    </row>
    <row r="46" spans="5:11" ht="15" customHeight="1" x14ac:dyDescent="0.2">
      <c r="E46" s="78">
        <f>IF(SUM(ROWS($E$11:E46))&gt;$L$5,"",SUM(ROWS($E$11:E46)))</f>
        <v>36</v>
      </c>
      <c r="F46" s="76">
        <f t="shared" si="6"/>
        <v>45436</v>
      </c>
      <c r="G46" s="77">
        <f t="shared" si="5"/>
        <v>1245.4512171647789</v>
      </c>
      <c r="H46" s="77">
        <f t="shared" si="2"/>
        <v>1245.4512171648512</v>
      </c>
      <c r="I46" s="77">
        <f t="shared" si="3"/>
        <v>29.060528400511508</v>
      </c>
      <c r="J46" s="77">
        <f t="shared" si="7"/>
        <v>1274.5117455653626</v>
      </c>
      <c r="K46" s="77">
        <f t="shared" si="4"/>
        <v>-7.2304828790947795E-11</v>
      </c>
    </row>
    <row r="47" spans="5:11" ht="15" customHeight="1" x14ac:dyDescent="0.2">
      <c r="E47" s="78" t="str">
        <f>IF(SUM(ROWS($E$11:E47))&gt;$L$5,"",SUM(ROWS($E$11:E47)))</f>
        <v/>
      </c>
      <c r="F47" s="76" t="str">
        <f t="shared" si="6"/>
        <v/>
      </c>
      <c r="G47" s="77" t="str">
        <f t="shared" si="5"/>
        <v/>
      </c>
      <c r="H47" s="77" t="str">
        <f t="shared" si="2"/>
        <v/>
      </c>
      <c r="I47" s="77" t="str">
        <f t="shared" si="3"/>
        <v/>
      </c>
      <c r="J47" s="77" t="str">
        <f t="shared" si="7"/>
        <v/>
      </c>
      <c r="K47" s="77" t="str">
        <f t="shared" si="4"/>
        <v/>
      </c>
    </row>
    <row r="48" spans="5:11" ht="15" customHeight="1" x14ac:dyDescent="0.2">
      <c r="E48" s="78" t="str">
        <f>IF(SUM(ROWS($E$11:E48))&gt;$L$5,"",SUM(ROWS($E$11:E48)))</f>
        <v/>
      </c>
      <c r="F48" s="76" t="str">
        <f t="shared" si="6"/>
        <v/>
      </c>
      <c r="G48" s="77" t="str">
        <f t="shared" si="5"/>
        <v/>
      </c>
      <c r="H48" s="77" t="str">
        <f t="shared" si="2"/>
        <v/>
      </c>
      <c r="I48" s="77" t="str">
        <f t="shared" si="3"/>
        <v/>
      </c>
      <c r="J48" s="77" t="str">
        <f t="shared" si="7"/>
        <v/>
      </c>
      <c r="K48" s="77" t="str">
        <f t="shared" si="4"/>
        <v/>
      </c>
    </row>
    <row r="49" spans="5:11" ht="15" customHeight="1" x14ac:dyDescent="0.2">
      <c r="E49" s="78" t="str">
        <f>IF(SUM(ROWS($E$11:E49))&gt;$L$5,"",SUM(ROWS($E$11:E49)))</f>
        <v/>
      </c>
      <c r="F49" s="76" t="str">
        <f t="shared" si="6"/>
        <v/>
      </c>
      <c r="G49" s="77" t="str">
        <f t="shared" si="5"/>
        <v/>
      </c>
      <c r="H49" s="77" t="str">
        <f t="shared" si="2"/>
        <v/>
      </c>
      <c r="I49" s="77" t="str">
        <f t="shared" si="3"/>
        <v/>
      </c>
      <c r="J49" s="77" t="str">
        <f t="shared" si="7"/>
        <v/>
      </c>
      <c r="K49" s="77" t="str">
        <f t="shared" si="4"/>
        <v/>
      </c>
    </row>
    <row r="50" spans="5:11" ht="15" customHeight="1" x14ac:dyDescent="0.2">
      <c r="E50" s="78" t="str">
        <f>IF(SUM(ROWS($E$11:E50))&gt;$L$5,"",SUM(ROWS($E$11:E50)))</f>
        <v/>
      </c>
      <c r="F50" s="76" t="str">
        <f t="shared" si="6"/>
        <v/>
      </c>
      <c r="G50" s="77" t="str">
        <f t="shared" si="5"/>
        <v/>
      </c>
      <c r="H50" s="77" t="str">
        <f t="shared" si="2"/>
        <v/>
      </c>
      <c r="I50" s="77" t="str">
        <f t="shared" si="3"/>
        <v/>
      </c>
      <c r="J50" s="77" t="str">
        <f t="shared" si="7"/>
        <v/>
      </c>
      <c r="K50" s="77" t="str">
        <f t="shared" si="4"/>
        <v/>
      </c>
    </row>
    <row r="51" spans="5:11" ht="15" customHeight="1" x14ac:dyDescent="0.2">
      <c r="E51" s="78" t="str">
        <f>IF(SUM(ROWS($E$11:E51))&gt;$L$5,"",SUM(ROWS($E$11:E51)))</f>
        <v/>
      </c>
      <c r="F51" s="76" t="str">
        <f t="shared" si="6"/>
        <v/>
      </c>
      <c r="G51" s="77" t="str">
        <f t="shared" si="5"/>
        <v/>
      </c>
      <c r="H51" s="77" t="str">
        <f t="shared" si="2"/>
        <v/>
      </c>
      <c r="I51" s="77" t="str">
        <f t="shared" si="3"/>
        <v/>
      </c>
      <c r="J51" s="77" t="str">
        <f t="shared" si="7"/>
        <v/>
      </c>
      <c r="K51" s="77" t="str">
        <f t="shared" si="4"/>
        <v/>
      </c>
    </row>
    <row r="52" spans="5:11" ht="15" customHeight="1" x14ac:dyDescent="0.2">
      <c r="E52" s="78" t="str">
        <f>IF(SUM(ROWS($E$11:E52))&gt;$L$5,"",SUM(ROWS($E$11:E52)))</f>
        <v/>
      </c>
      <c r="F52" s="76" t="str">
        <f t="shared" si="6"/>
        <v/>
      </c>
      <c r="G52" s="77" t="str">
        <f t="shared" si="5"/>
        <v/>
      </c>
      <c r="H52" s="77" t="str">
        <f t="shared" si="2"/>
        <v/>
      </c>
      <c r="I52" s="77" t="str">
        <f t="shared" si="3"/>
        <v/>
      </c>
      <c r="J52" s="77" t="str">
        <f t="shared" si="7"/>
        <v/>
      </c>
      <c r="K52" s="77" t="str">
        <f t="shared" si="4"/>
        <v/>
      </c>
    </row>
    <row r="53" spans="5:11" ht="15" customHeight="1" x14ac:dyDescent="0.2">
      <c r="E53" s="78" t="str">
        <f>IF(SUM(ROWS($E$11:E53))&gt;$L$5,"",SUM(ROWS($E$11:E53)))</f>
        <v/>
      </c>
      <c r="F53" s="76" t="str">
        <f t="shared" si="6"/>
        <v/>
      </c>
      <c r="G53" s="77" t="str">
        <f t="shared" si="5"/>
        <v/>
      </c>
      <c r="H53" s="77" t="str">
        <f t="shared" si="2"/>
        <v/>
      </c>
      <c r="I53" s="77" t="str">
        <f t="shared" si="3"/>
        <v/>
      </c>
      <c r="J53" s="77" t="str">
        <f t="shared" si="7"/>
        <v/>
      </c>
      <c r="K53" s="77" t="str">
        <f t="shared" si="4"/>
        <v/>
      </c>
    </row>
    <row r="54" spans="5:11" ht="15" customHeight="1" x14ac:dyDescent="0.2">
      <c r="E54" s="78" t="str">
        <f>IF(SUM(ROWS($E$11:E54))&gt;$L$5,"",SUM(ROWS($E$11:E54)))</f>
        <v/>
      </c>
      <c r="F54" s="76" t="str">
        <f t="shared" si="6"/>
        <v/>
      </c>
      <c r="G54" s="77" t="str">
        <f t="shared" si="5"/>
        <v/>
      </c>
      <c r="H54" s="77" t="str">
        <f t="shared" si="2"/>
        <v/>
      </c>
      <c r="I54" s="77" t="str">
        <f t="shared" si="3"/>
        <v/>
      </c>
      <c r="J54" s="77" t="str">
        <f t="shared" si="7"/>
        <v/>
      </c>
      <c r="K54" s="77" t="str">
        <f t="shared" si="4"/>
        <v/>
      </c>
    </row>
    <row r="55" spans="5:11" ht="15" customHeight="1" x14ac:dyDescent="0.2">
      <c r="E55" s="78" t="str">
        <f>IF(SUM(ROWS($E$11:E55))&gt;$L$5,"",SUM(ROWS($E$11:E55)))</f>
        <v/>
      </c>
      <c r="F55" s="76" t="str">
        <f t="shared" si="6"/>
        <v/>
      </c>
      <c r="G55" s="77" t="str">
        <f t="shared" si="5"/>
        <v/>
      </c>
      <c r="H55" s="77" t="str">
        <f t="shared" si="2"/>
        <v/>
      </c>
      <c r="I55" s="77" t="str">
        <f t="shared" si="3"/>
        <v/>
      </c>
      <c r="J55" s="77" t="str">
        <f t="shared" si="7"/>
        <v/>
      </c>
      <c r="K55" s="77" t="str">
        <f t="shared" si="4"/>
        <v/>
      </c>
    </row>
    <row r="56" spans="5:11" ht="15" customHeight="1" x14ac:dyDescent="0.2">
      <c r="E56" s="78" t="str">
        <f>IF(SUM(ROWS($E$11:E56))&gt;$L$5,"",SUM(ROWS($E$11:E56)))</f>
        <v/>
      </c>
      <c r="F56" s="76" t="str">
        <f t="shared" si="6"/>
        <v/>
      </c>
      <c r="G56" s="77" t="str">
        <f t="shared" si="5"/>
        <v/>
      </c>
      <c r="H56" s="77" t="str">
        <f t="shared" si="2"/>
        <v/>
      </c>
      <c r="I56" s="77" t="str">
        <f t="shared" si="3"/>
        <v/>
      </c>
      <c r="J56" s="77" t="str">
        <f t="shared" si="7"/>
        <v/>
      </c>
      <c r="K56" s="77" t="str">
        <f t="shared" si="4"/>
        <v/>
      </c>
    </row>
    <row r="57" spans="5:11" ht="15" customHeight="1" x14ac:dyDescent="0.2">
      <c r="E57" s="78" t="str">
        <f>IF(SUM(ROWS($E$11:E57))&gt;$L$5,"",SUM(ROWS($E$11:E57)))</f>
        <v/>
      </c>
      <c r="F57" s="76" t="str">
        <f t="shared" si="6"/>
        <v/>
      </c>
      <c r="G57" s="77" t="str">
        <f t="shared" si="5"/>
        <v/>
      </c>
      <c r="H57" s="77" t="str">
        <f t="shared" si="2"/>
        <v/>
      </c>
      <c r="I57" s="77" t="str">
        <f t="shared" si="3"/>
        <v/>
      </c>
      <c r="J57" s="77" t="str">
        <f t="shared" si="7"/>
        <v/>
      </c>
      <c r="K57" s="77" t="str">
        <f t="shared" si="4"/>
        <v/>
      </c>
    </row>
    <row r="58" spans="5:11" ht="15" customHeight="1" x14ac:dyDescent="0.2">
      <c r="E58" s="78" t="str">
        <f>IF(SUM(ROWS($E$11:E58))&gt;$L$5,"",SUM(ROWS($E$11:E58)))</f>
        <v/>
      </c>
      <c r="F58" s="76" t="str">
        <f t="shared" si="6"/>
        <v/>
      </c>
      <c r="G58" s="77" t="str">
        <f t="shared" si="5"/>
        <v/>
      </c>
      <c r="H58" s="77" t="str">
        <f t="shared" si="2"/>
        <v/>
      </c>
      <c r="I58" s="77" t="str">
        <f t="shared" si="3"/>
        <v/>
      </c>
      <c r="J58" s="77" t="str">
        <f t="shared" si="7"/>
        <v/>
      </c>
      <c r="K58" s="77" t="str">
        <f t="shared" si="4"/>
        <v/>
      </c>
    </row>
    <row r="59" spans="5:11" ht="15" customHeight="1" x14ac:dyDescent="0.2">
      <c r="E59" s="78" t="str">
        <f>IF(SUM(ROWS($E$11:E59))&gt;$L$5,"",SUM(ROWS($E$11:E59)))</f>
        <v/>
      </c>
      <c r="F59" s="76" t="str">
        <f t="shared" si="6"/>
        <v/>
      </c>
      <c r="G59" s="77" t="str">
        <f t="shared" si="5"/>
        <v/>
      </c>
      <c r="H59" s="77" t="str">
        <f t="shared" si="2"/>
        <v/>
      </c>
      <c r="I59" s="77" t="str">
        <f t="shared" si="3"/>
        <v/>
      </c>
      <c r="J59" s="77" t="str">
        <f t="shared" si="7"/>
        <v/>
      </c>
      <c r="K59" s="77" t="str">
        <f t="shared" si="4"/>
        <v/>
      </c>
    </row>
    <row r="60" spans="5:11" ht="15" customHeight="1" x14ac:dyDescent="0.2">
      <c r="E60" s="78" t="str">
        <f>IF(SUM(ROWS($E$11:E60))&gt;$L$5,"",SUM(ROWS($E$11:E60)))</f>
        <v/>
      </c>
      <c r="F60" s="76" t="str">
        <f t="shared" si="6"/>
        <v/>
      </c>
      <c r="G60" s="77" t="str">
        <f t="shared" si="5"/>
        <v/>
      </c>
      <c r="H60" s="77" t="str">
        <f t="shared" si="2"/>
        <v/>
      </c>
      <c r="I60" s="77" t="str">
        <f t="shared" si="3"/>
        <v/>
      </c>
      <c r="J60" s="77" t="str">
        <f t="shared" si="7"/>
        <v/>
      </c>
      <c r="K60" s="77" t="str">
        <f t="shared" si="4"/>
        <v/>
      </c>
    </row>
    <row r="61" spans="5:11" ht="15" customHeight="1" x14ac:dyDescent="0.2">
      <c r="E61" s="78" t="str">
        <f>IF(SUM(ROWS($E$11:E61))&gt;$L$5,"",SUM(ROWS($E$11:E61)))</f>
        <v/>
      </c>
      <c r="F61" s="76" t="str">
        <f t="shared" si="6"/>
        <v/>
      </c>
      <c r="G61" s="77" t="str">
        <f t="shared" si="5"/>
        <v/>
      </c>
      <c r="H61" s="77" t="str">
        <f t="shared" si="2"/>
        <v/>
      </c>
      <c r="I61" s="77" t="str">
        <f t="shared" si="3"/>
        <v/>
      </c>
      <c r="J61" s="77" t="str">
        <f t="shared" si="7"/>
        <v/>
      </c>
      <c r="K61" s="77" t="str">
        <f t="shared" si="4"/>
        <v/>
      </c>
    </row>
    <row r="62" spans="5:11" ht="15" customHeight="1" x14ac:dyDescent="0.2">
      <c r="E62" s="78" t="str">
        <f>IF(SUM(ROWS($E$11:E62))&gt;$L$5,"",SUM(ROWS($E$11:E62)))</f>
        <v/>
      </c>
      <c r="F62" s="76" t="str">
        <f t="shared" si="6"/>
        <v/>
      </c>
      <c r="G62" s="77" t="str">
        <f t="shared" si="5"/>
        <v/>
      </c>
      <c r="H62" s="77" t="str">
        <f t="shared" si="2"/>
        <v/>
      </c>
      <c r="I62" s="77" t="str">
        <f t="shared" si="3"/>
        <v/>
      </c>
      <c r="J62" s="77" t="str">
        <f t="shared" si="7"/>
        <v/>
      </c>
      <c r="K62" s="77" t="str">
        <f t="shared" si="4"/>
        <v/>
      </c>
    </row>
    <row r="63" spans="5:11" ht="15" customHeight="1" x14ac:dyDescent="0.2">
      <c r="E63" s="78" t="str">
        <f>IF(SUM(ROWS($E$11:E63))&gt;$L$5,"",SUM(ROWS($E$11:E63)))</f>
        <v/>
      </c>
      <c r="F63" s="76" t="str">
        <f t="shared" si="6"/>
        <v/>
      </c>
      <c r="G63" s="77" t="str">
        <f t="shared" si="5"/>
        <v/>
      </c>
      <c r="H63" s="77" t="str">
        <f t="shared" si="2"/>
        <v/>
      </c>
      <c r="I63" s="77" t="str">
        <f t="shared" si="3"/>
        <v/>
      </c>
      <c r="J63" s="77" t="str">
        <f t="shared" si="7"/>
        <v/>
      </c>
      <c r="K63" s="77" t="str">
        <f t="shared" si="4"/>
        <v/>
      </c>
    </row>
    <row r="64" spans="5:11" ht="15" customHeight="1" x14ac:dyDescent="0.2">
      <c r="E64" s="78" t="str">
        <f>IF(SUM(ROWS($E$11:E64))&gt;$L$5,"",SUM(ROWS($E$11:E64)))</f>
        <v/>
      </c>
      <c r="F64" s="76" t="str">
        <f t="shared" si="6"/>
        <v/>
      </c>
      <c r="G64" s="77" t="str">
        <f t="shared" si="5"/>
        <v/>
      </c>
      <c r="H64" s="77" t="str">
        <f t="shared" si="2"/>
        <v/>
      </c>
      <c r="I64" s="77" t="str">
        <f t="shared" si="3"/>
        <v/>
      </c>
      <c r="J64" s="77" t="str">
        <f t="shared" si="7"/>
        <v/>
      </c>
      <c r="K64" s="77" t="str">
        <f t="shared" si="4"/>
        <v/>
      </c>
    </row>
    <row r="65" spans="5:11" ht="15" customHeight="1" x14ac:dyDescent="0.2">
      <c r="E65" s="78" t="str">
        <f>IF(SUM(ROWS($E$11:E65))&gt;$L$5,"",SUM(ROWS($E$11:E65)))</f>
        <v/>
      </c>
      <c r="F65" s="76" t="str">
        <f t="shared" si="6"/>
        <v/>
      </c>
      <c r="G65" s="77" t="str">
        <f t="shared" si="5"/>
        <v/>
      </c>
      <c r="H65" s="77" t="str">
        <f t="shared" si="2"/>
        <v/>
      </c>
      <c r="I65" s="77" t="str">
        <f t="shared" si="3"/>
        <v/>
      </c>
      <c r="J65" s="77" t="str">
        <f t="shared" si="7"/>
        <v/>
      </c>
      <c r="K65" s="77" t="str">
        <f t="shared" si="4"/>
        <v/>
      </c>
    </row>
    <row r="66" spans="5:11" ht="15" customHeight="1" x14ac:dyDescent="0.2">
      <c r="E66" s="78" t="str">
        <f>IF(SUM(ROWS($E$11:E66))&gt;$L$5,"",SUM(ROWS($E$11:E66)))</f>
        <v/>
      </c>
      <c r="F66" s="76" t="str">
        <f t="shared" si="6"/>
        <v/>
      </c>
      <c r="G66" s="77" t="str">
        <f t="shared" si="5"/>
        <v/>
      </c>
      <c r="H66" s="77" t="str">
        <f t="shared" si="2"/>
        <v/>
      </c>
      <c r="I66" s="77" t="str">
        <f t="shared" si="3"/>
        <v/>
      </c>
      <c r="J66" s="77" t="str">
        <f t="shared" si="7"/>
        <v/>
      </c>
      <c r="K66" s="77" t="str">
        <f t="shared" si="4"/>
        <v/>
      </c>
    </row>
    <row r="67" spans="5:11" ht="15" customHeight="1" x14ac:dyDescent="0.2">
      <c r="E67" s="78" t="str">
        <f>IF(SUM(ROWS($E$11:E67))&gt;$L$5,"",SUM(ROWS($E$11:E67)))</f>
        <v/>
      </c>
      <c r="F67" s="76" t="str">
        <f t="shared" si="6"/>
        <v/>
      </c>
      <c r="G67" s="77" t="str">
        <f t="shared" si="5"/>
        <v/>
      </c>
      <c r="H67" s="77" t="str">
        <f t="shared" si="2"/>
        <v/>
      </c>
      <c r="I67" s="77" t="str">
        <f t="shared" si="3"/>
        <v/>
      </c>
      <c r="J67" s="77" t="str">
        <f t="shared" si="7"/>
        <v/>
      </c>
      <c r="K67" s="77" t="str">
        <f t="shared" si="4"/>
        <v/>
      </c>
    </row>
    <row r="68" spans="5:11" ht="15" customHeight="1" x14ac:dyDescent="0.2">
      <c r="E68" s="78" t="str">
        <f>IF(SUM(ROWS($E$11:E68))&gt;$L$5,"",SUM(ROWS($E$11:E68)))</f>
        <v/>
      </c>
      <c r="F68" s="76" t="str">
        <f t="shared" si="6"/>
        <v/>
      </c>
      <c r="G68" s="77" t="str">
        <f t="shared" si="5"/>
        <v/>
      </c>
      <c r="H68" s="77" t="str">
        <f t="shared" si="2"/>
        <v/>
      </c>
      <c r="I68" s="77" t="str">
        <f t="shared" si="3"/>
        <v/>
      </c>
      <c r="J68" s="77" t="str">
        <f t="shared" si="7"/>
        <v/>
      </c>
      <c r="K68" s="77" t="str">
        <f t="shared" si="4"/>
        <v/>
      </c>
    </row>
    <row r="69" spans="5:11" ht="15" customHeight="1" x14ac:dyDescent="0.2">
      <c r="E69" s="78" t="str">
        <f>IF(SUM(ROWS($E$11:E69))&gt;$L$5,"",SUM(ROWS($E$11:E69)))</f>
        <v/>
      </c>
      <c r="F69" s="76" t="str">
        <f t="shared" si="6"/>
        <v/>
      </c>
      <c r="G69" s="77" t="str">
        <f t="shared" si="5"/>
        <v/>
      </c>
      <c r="H69" s="77" t="str">
        <f t="shared" si="2"/>
        <v/>
      </c>
      <c r="I69" s="77" t="str">
        <f t="shared" si="3"/>
        <v/>
      </c>
      <c r="J69" s="77" t="str">
        <f t="shared" si="7"/>
        <v/>
      </c>
      <c r="K69" s="77" t="str">
        <f t="shared" si="4"/>
        <v/>
      </c>
    </row>
    <row r="70" spans="5:11" ht="15" customHeight="1" x14ac:dyDescent="0.2">
      <c r="E70" s="78" t="str">
        <f>IF(SUM(ROWS($E$11:E70))&gt;$L$5,"",SUM(ROWS($E$11:E70)))</f>
        <v/>
      </c>
      <c r="F70" s="76" t="str">
        <f t="shared" si="6"/>
        <v/>
      </c>
      <c r="G70" s="77" t="str">
        <f t="shared" si="5"/>
        <v/>
      </c>
      <c r="H70" s="77" t="str">
        <f t="shared" si="2"/>
        <v/>
      </c>
      <c r="I70" s="77" t="str">
        <f t="shared" si="3"/>
        <v/>
      </c>
      <c r="J70" s="77" t="str">
        <f t="shared" si="7"/>
        <v/>
      </c>
      <c r="K70" s="77" t="str">
        <f t="shared" si="4"/>
        <v/>
      </c>
    </row>
    <row r="71" spans="5:11" ht="15" customHeight="1" x14ac:dyDescent="0.2">
      <c r="E71" s="79"/>
      <c r="F71" s="74"/>
      <c r="G71" s="74"/>
      <c r="H71" s="74"/>
      <c r="I71" s="74"/>
      <c r="J71" s="74"/>
      <c r="K71" s="74"/>
    </row>
    <row r="72" spans="5:11" ht="15" customHeight="1" x14ac:dyDescent="0.2">
      <c r="E72" s="79"/>
      <c r="F72" s="74"/>
      <c r="G72" s="74"/>
      <c r="H72" s="74"/>
      <c r="I72" s="74"/>
      <c r="J72" s="74"/>
      <c r="K72" s="74"/>
    </row>
    <row r="73" spans="5:11" ht="15" customHeight="1" x14ac:dyDescent="0.2">
      <c r="E73" s="79"/>
      <c r="F73" s="74"/>
      <c r="G73" s="74"/>
      <c r="H73" s="74"/>
      <c r="I73" s="74"/>
      <c r="J73" s="74"/>
      <c r="K73" s="74"/>
    </row>
    <row r="74" spans="5:11" ht="15" customHeight="1" x14ac:dyDescent="0.2">
      <c r="E74" s="79"/>
      <c r="F74" s="74"/>
      <c r="G74" s="74"/>
      <c r="H74" s="74"/>
      <c r="I74" s="74"/>
      <c r="J74" s="74"/>
      <c r="K74" s="74"/>
    </row>
    <row r="75" spans="5:11" ht="15" customHeight="1" x14ac:dyDescent="0.2">
      <c r="E75" s="79"/>
      <c r="F75" s="74"/>
      <c r="G75" s="74"/>
      <c r="H75" s="74"/>
      <c r="I75" s="74"/>
      <c r="J75" s="74"/>
      <c r="K75" s="74"/>
    </row>
    <row r="76" spans="5:11" ht="15" customHeight="1" x14ac:dyDescent="0.2">
      <c r="E76" s="79"/>
      <c r="F76" s="74"/>
      <c r="G76" s="74"/>
      <c r="H76" s="74"/>
      <c r="I76" s="74"/>
      <c r="J76" s="74"/>
      <c r="K76" s="74"/>
    </row>
    <row r="77" spans="5:11" ht="15" customHeight="1" x14ac:dyDescent="0.2">
      <c r="E77" s="79"/>
      <c r="F77" s="74"/>
      <c r="G77" s="74"/>
      <c r="H77" s="74"/>
      <c r="I77" s="74"/>
      <c r="J77" s="74"/>
      <c r="K77" s="74"/>
    </row>
    <row r="78" spans="5:11" ht="15" customHeight="1" x14ac:dyDescent="0.2">
      <c r="E78" s="79"/>
      <c r="F78" s="74"/>
      <c r="G78" s="74"/>
      <c r="H78" s="74"/>
      <c r="I78" s="74"/>
      <c r="J78" s="74"/>
      <c r="K78" s="74"/>
    </row>
    <row r="79" spans="5:11" ht="15" customHeight="1" x14ac:dyDescent="0.2">
      <c r="E79" s="79"/>
      <c r="F79" s="74"/>
      <c r="G79" s="74"/>
      <c r="H79" s="74"/>
      <c r="I79" s="74"/>
      <c r="J79" s="74"/>
      <c r="K79" s="74"/>
    </row>
    <row r="80" spans="5:11" ht="15" customHeight="1" x14ac:dyDescent="0.2">
      <c r="E80" s="79"/>
      <c r="F80" s="74"/>
      <c r="G80" s="74"/>
      <c r="H80" s="74"/>
      <c r="I80" s="74"/>
      <c r="J80" s="74"/>
      <c r="K80" s="74"/>
    </row>
    <row r="81" spans="5:11" ht="15" customHeight="1" x14ac:dyDescent="0.2">
      <c r="E81" s="79"/>
      <c r="F81" s="74"/>
      <c r="G81" s="74"/>
      <c r="H81" s="74"/>
      <c r="I81" s="74"/>
      <c r="J81" s="74"/>
      <c r="K81" s="74"/>
    </row>
    <row r="82" spans="5:11" ht="15" customHeight="1" x14ac:dyDescent="0.2">
      <c r="E82" s="79"/>
      <c r="F82" s="74"/>
      <c r="G82" s="74"/>
      <c r="H82" s="74"/>
      <c r="I82" s="74"/>
      <c r="J82" s="74"/>
      <c r="K82" s="74"/>
    </row>
    <row r="83" spans="5:11" ht="15" customHeight="1" x14ac:dyDescent="0.2">
      <c r="E83" s="79"/>
      <c r="F83" s="74"/>
      <c r="G83" s="74"/>
      <c r="H83" s="74"/>
      <c r="I83" s="74"/>
      <c r="J83" s="74"/>
      <c r="K83" s="74"/>
    </row>
    <row r="84" spans="5:11" ht="15" customHeight="1" x14ac:dyDescent="0.2">
      <c r="E84" s="79"/>
      <c r="F84" s="74"/>
      <c r="G84" s="74"/>
      <c r="H84" s="74"/>
      <c r="I84" s="74"/>
      <c r="J84" s="74"/>
      <c r="K84" s="74"/>
    </row>
    <row r="85" spans="5:11" ht="15" customHeight="1" x14ac:dyDescent="0.2">
      <c r="E85" s="79"/>
      <c r="F85" s="74"/>
      <c r="G85" s="74"/>
      <c r="H85" s="74"/>
      <c r="I85" s="74"/>
      <c r="J85" s="74"/>
      <c r="K85" s="74"/>
    </row>
    <row r="86" spans="5:11" ht="15" customHeight="1" x14ac:dyDescent="0.2">
      <c r="E86" s="79"/>
      <c r="F86" s="74"/>
      <c r="G86" s="74"/>
      <c r="H86" s="74"/>
      <c r="I86" s="74"/>
      <c r="J86" s="74"/>
      <c r="K86" s="74"/>
    </row>
    <row r="87" spans="5:11" ht="15" customHeight="1" x14ac:dyDescent="0.2">
      <c r="E87" s="79"/>
      <c r="F87" s="74"/>
      <c r="G87" s="74"/>
      <c r="H87" s="74"/>
      <c r="I87" s="74"/>
      <c r="J87" s="74"/>
      <c r="K87" s="74"/>
    </row>
    <row r="88" spans="5:11" ht="15" customHeight="1" x14ac:dyDescent="0.2">
      <c r="E88" s="79"/>
      <c r="F88" s="74"/>
      <c r="G88" s="74"/>
      <c r="H88" s="74"/>
      <c r="I88" s="74"/>
      <c r="J88" s="74"/>
      <c r="K88" s="74"/>
    </row>
    <row r="89" spans="5:11" ht="15" customHeight="1" x14ac:dyDescent="0.2">
      <c r="E89" s="79"/>
      <c r="F89" s="74"/>
      <c r="G89" s="74"/>
      <c r="H89" s="74"/>
      <c r="I89" s="74"/>
      <c r="J89" s="74"/>
      <c r="K89" s="74"/>
    </row>
    <row r="90" spans="5:11" ht="15" customHeight="1" x14ac:dyDescent="0.2">
      <c r="E90" s="79"/>
      <c r="F90" s="74"/>
      <c r="G90" s="74"/>
      <c r="H90" s="74"/>
      <c r="I90" s="74"/>
      <c r="J90" s="74"/>
      <c r="K90" s="74"/>
    </row>
    <row r="91" spans="5:11" ht="15" customHeight="1" x14ac:dyDescent="0.2">
      <c r="E91" s="79"/>
      <c r="F91" s="74"/>
      <c r="G91" s="74"/>
      <c r="H91" s="74"/>
      <c r="I91" s="74"/>
      <c r="J91" s="74"/>
      <c r="K91" s="74"/>
    </row>
    <row r="92" spans="5:11" ht="15" customHeight="1" x14ac:dyDescent="0.2">
      <c r="E92" s="79"/>
      <c r="F92" s="74"/>
      <c r="G92" s="74"/>
      <c r="H92" s="74"/>
      <c r="I92" s="74"/>
      <c r="J92" s="74"/>
      <c r="K92" s="74"/>
    </row>
    <row r="93" spans="5:11" ht="15" customHeight="1" x14ac:dyDescent="0.2">
      <c r="E93" s="79"/>
      <c r="F93" s="74"/>
      <c r="G93" s="74"/>
      <c r="H93" s="74"/>
      <c r="I93" s="74"/>
      <c r="J93" s="74"/>
      <c r="K93" s="74"/>
    </row>
    <row r="94" spans="5:11" ht="15" customHeight="1" x14ac:dyDescent="0.2">
      <c r="E94" s="79"/>
      <c r="F94" s="74"/>
      <c r="G94" s="74"/>
      <c r="H94" s="74"/>
      <c r="I94" s="74"/>
      <c r="J94" s="74"/>
      <c r="K94" s="74"/>
    </row>
    <row r="95" spans="5:11" ht="15" customHeight="1" x14ac:dyDescent="0.2">
      <c r="E95" s="79"/>
      <c r="F95" s="74"/>
      <c r="G95" s="74"/>
      <c r="H95" s="74"/>
      <c r="I95" s="74"/>
      <c r="J95" s="74"/>
      <c r="K95" s="74"/>
    </row>
    <row r="96" spans="5:11" ht="15" customHeight="1" x14ac:dyDescent="0.2">
      <c r="E96" s="79"/>
      <c r="F96" s="74"/>
      <c r="G96" s="74"/>
      <c r="H96" s="74"/>
      <c r="I96" s="74"/>
      <c r="J96" s="74"/>
      <c r="K96" s="74"/>
    </row>
    <row r="97" spans="5:11" ht="15" customHeight="1" x14ac:dyDescent="0.2">
      <c r="E97" s="79"/>
      <c r="F97" s="74"/>
      <c r="G97" s="74"/>
      <c r="H97" s="74"/>
      <c r="I97" s="74"/>
      <c r="J97" s="74"/>
      <c r="K97" s="74"/>
    </row>
    <row r="98" spans="5:11" ht="15" customHeight="1" x14ac:dyDescent="0.2">
      <c r="E98" s="79"/>
      <c r="F98" s="74"/>
      <c r="G98" s="74"/>
      <c r="H98" s="74"/>
      <c r="I98" s="74"/>
      <c r="J98" s="74"/>
      <c r="K98" s="74"/>
    </row>
    <row r="99" spans="5:11" ht="15" customHeight="1" x14ac:dyDescent="0.2">
      <c r="E99" s="79"/>
      <c r="F99" s="74"/>
      <c r="G99" s="74"/>
      <c r="H99" s="74"/>
      <c r="I99" s="74"/>
      <c r="J99" s="74"/>
      <c r="K99" s="74"/>
    </row>
    <row r="100" spans="5:11" ht="15" customHeight="1" x14ac:dyDescent="0.2">
      <c r="E100" s="79"/>
      <c r="F100" s="74"/>
      <c r="G100" s="74"/>
      <c r="H100" s="74"/>
      <c r="I100" s="74"/>
      <c r="J100" s="74"/>
      <c r="K100" s="74"/>
    </row>
  </sheetData>
  <mergeCells count="13">
    <mergeCell ref="I6:K6"/>
    <mergeCell ref="I7:K7"/>
    <mergeCell ref="I8:K8"/>
    <mergeCell ref="D4:E4"/>
    <mergeCell ref="D5:E5"/>
    <mergeCell ref="D6:E6"/>
    <mergeCell ref="D7:E7"/>
    <mergeCell ref="D8:E8"/>
    <mergeCell ref="D1:L1"/>
    <mergeCell ref="I3:L3"/>
    <mergeCell ref="D3:F3"/>
    <mergeCell ref="I4:K4"/>
    <mergeCell ref="I5:K5"/>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8C1B939-D5F1-49DF-BB9A-E877218AD504}">
  <sheetPr>
    <tabColor rgb="FFFF6600"/>
  </sheetPr>
  <dimension ref="A1:T130"/>
  <sheetViews>
    <sheetView zoomScaleNormal="100" workbookViewId="0"/>
  </sheetViews>
  <sheetFormatPr baseColWidth="10" defaultColWidth="11.42578125" defaultRowHeight="15" customHeight="1" x14ac:dyDescent="0.2"/>
  <cols>
    <col min="1" max="1" width="11.42578125" style="81" customWidth="1"/>
    <col min="2" max="2" width="11.42578125" style="81"/>
    <col min="3" max="3" width="11.42578125" style="81" customWidth="1"/>
    <col min="4" max="4" width="22.140625" style="81" customWidth="1"/>
    <col min="5" max="5" width="9.5703125" style="81" customWidth="1"/>
    <col min="6" max="6" width="13.42578125" style="81" customWidth="1"/>
    <col min="7" max="7" width="16.140625" style="81" bestFit="1" customWidth="1"/>
    <col min="8" max="8" width="15.5703125" style="81" bestFit="1" customWidth="1"/>
    <col min="9" max="9" width="9" style="81" bestFit="1" customWidth="1"/>
    <col min="10" max="10" width="11.5703125" style="81" bestFit="1" customWidth="1"/>
    <col min="11" max="11" width="14.42578125" style="81" customWidth="1"/>
    <col min="12" max="12" width="12.28515625" style="81" bestFit="1" customWidth="1"/>
    <col min="13" max="16384" width="11.42578125" style="81"/>
  </cols>
  <sheetData>
    <row r="1" spans="2:20" ht="19.5" x14ac:dyDescent="0.25">
      <c r="D1" s="137" t="s">
        <v>55</v>
      </c>
      <c r="E1" s="137"/>
      <c r="F1" s="137"/>
      <c r="G1" s="137"/>
      <c r="H1" s="137"/>
      <c r="I1" s="137"/>
      <c r="J1" s="137"/>
      <c r="K1" s="137"/>
      <c r="L1" s="137"/>
    </row>
    <row r="2" spans="2:20" ht="15" customHeight="1" x14ac:dyDescent="0.2">
      <c r="B2" s="80"/>
      <c r="C2" s="80"/>
      <c r="D2" s="82"/>
      <c r="G2" s="80"/>
      <c r="H2" s="80"/>
    </row>
    <row r="3" spans="2:20" ht="15" customHeight="1" x14ac:dyDescent="0.2">
      <c r="B3" s="80"/>
      <c r="C3" s="80"/>
      <c r="D3" s="138" t="s">
        <v>0</v>
      </c>
      <c r="E3" s="138"/>
      <c r="F3" s="138"/>
      <c r="I3" s="138" t="s">
        <v>1</v>
      </c>
      <c r="J3" s="138"/>
      <c r="K3" s="138"/>
      <c r="L3" s="138"/>
    </row>
    <row r="4" spans="2:20" ht="15" customHeight="1" x14ac:dyDescent="0.2">
      <c r="B4" s="80"/>
      <c r="C4" s="80"/>
      <c r="D4" s="136" t="s">
        <v>2</v>
      </c>
      <c r="E4" s="136"/>
      <c r="F4" s="89">
        <f>Simulador!K6</f>
        <v>20000</v>
      </c>
      <c r="G4" s="80"/>
      <c r="H4" s="80"/>
      <c r="I4" s="136" t="s">
        <v>5</v>
      </c>
      <c r="J4" s="136"/>
      <c r="K4" s="136"/>
      <c r="L4" s="94">
        <f>F7*12</f>
        <v>36</v>
      </c>
    </row>
    <row r="5" spans="2:20" ht="15" customHeight="1" x14ac:dyDescent="0.2">
      <c r="B5" s="80"/>
      <c r="C5" s="80"/>
      <c r="D5" s="136" t="s">
        <v>4</v>
      </c>
      <c r="E5" s="136"/>
      <c r="F5" s="90">
        <f>Simulador!K8</f>
        <v>0.28000000000000003</v>
      </c>
      <c r="G5" s="80"/>
      <c r="H5" s="80"/>
      <c r="I5" s="136" t="s">
        <v>7</v>
      </c>
      <c r="J5" s="136"/>
      <c r="K5" s="136"/>
      <c r="L5" s="95">
        <f>SUM(I11:I70)</f>
        <v>16799.999999999993</v>
      </c>
    </row>
    <row r="6" spans="2:20" ht="15" customHeight="1" x14ac:dyDescent="0.2">
      <c r="B6" s="80"/>
      <c r="C6" s="80"/>
      <c r="D6" s="136" t="s">
        <v>6</v>
      </c>
      <c r="E6" s="136"/>
      <c r="F6" s="91">
        <f>F5/12</f>
        <v>2.3333333333333334E-2</v>
      </c>
      <c r="G6" s="80"/>
      <c r="H6" s="80"/>
      <c r="I6" s="136" t="s">
        <v>9</v>
      </c>
      <c r="J6" s="136"/>
      <c r="K6" s="136"/>
      <c r="L6" s="95">
        <f>L5+F4</f>
        <v>36799.999999999993</v>
      </c>
    </row>
    <row r="7" spans="2:20" ht="15" customHeight="1" x14ac:dyDescent="0.2">
      <c r="B7" s="80"/>
      <c r="C7" s="80"/>
      <c r="D7" s="136" t="s">
        <v>8</v>
      </c>
      <c r="E7" s="136"/>
      <c r="F7" s="92">
        <f>Simulador!K10</f>
        <v>3</v>
      </c>
      <c r="G7" s="80"/>
      <c r="H7" s="80"/>
      <c r="I7" s="136" t="s">
        <v>11</v>
      </c>
      <c r="J7" s="136"/>
      <c r="K7" s="136"/>
      <c r="L7" s="93">
        <f>IFERROR(DATE(YEAR(Fecha),MONTH(Fecha)+L4,DAY(Fecha)),"")</f>
        <v>45436</v>
      </c>
      <c r="T7" s="83">
        <f>F4/$L$4</f>
        <v>555.55555555555554</v>
      </c>
    </row>
    <row r="8" spans="2:20" ht="15" customHeight="1" x14ac:dyDescent="0.2">
      <c r="B8" s="80"/>
      <c r="C8" s="80"/>
      <c r="D8" s="136" t="s">
        <v>10</v>
      </c>
      <c r="E8" s="136"/>
      <c r="F8" s="93">
        <v>44340</v>
      </c>
      <c r="G8" s="80"/>
      <c r="H8" s="80"/>
    </row>
    <row r="9" spans="2:20" ht="15" customHeight="1" x14ac:dyDescent="0.2">
      <c r="B9" s="80"/>
      <c r="C9" s="80"/>
      <c r="D9" s="82"/>
      <c r="G9" s="80"/>
      <c r="H9" s="80"/>
    </row>
    <row r="10" spans="2:20" ht="15" customHeight="1" x14ac:dyDescent="0.2">
      <c r="B10" s="80"/>
      <c r="C10" s="80"/>
      <c r="D10" s="82"/>
      <c r="E10" s="101" t="s">
        <v>12</v>
      </c>
      <c r="F10" s="101" t="s">
        <v>13</v>
      </c>
      <c r="G10" s="101" t="s">
        <v>14</v>
      </c>
      <c r="H10" s="101" t="s">
        <v>3</v>
      </c>
      <c r="I10" s="101" t="s">
        <v>15</v>
      </c>
      <c r="J10" s="101" t="s">
        <v>16</v>
      </c>
      <c r="K10" s="101" t="s">
        <v>17</v>
      </c>
    </row>
    <row r="11" spans="2:20" ht="15" customHeight="1" x14ac:dyDescent="0.2">
      <c r="B11" s="80"/>
      <c r="C11" s="80"/>
      <c r="D11" s="80"/>
      <c r="E11" s="99">
        <f>IF(SUM(ROWS($E$11:E11))&gt;$L$4,"",SUM(ROWS($E$11:E11)))</f>
        <v>1</v>
      </c>
      <c r="F11" s="96">
        <f t="shared" ref="F11:F42" si="0">IFERROR(DATE(YEAR(Fecha),MONTH(Fecha)+E11,DAY(Fecha)),"")</f>
        <v>44371</v>
      </c>
      <c r="G11" s="97">
        <f>-IF(LEN(E11)&gt;0,IFERROR(FV(Tasa/12,E11-1,-$T$7,F4),""),"")</f>
        <v>20000</v>
      </c>
      <c r="H11" s="98">
        <f t="shared" ref="H11:H42" si="1">IF(LEN(E11)&gt;0,IF(LEN(E11)&gt;0,IF(OR(E11=$L$4),G11,0)),"")</f>
        <v>0</v>
      </c>
      <c r="I11" s="97">
        <f t="shared" ref="I11:I42" si="2">IF(LEN(E11)&gt;0,G11*$F$6,"")</f>
        <v>466.66666666666669</v>
      </c>
      <c r="J11" s="97">
        <f t="shared" ref="J11:J42" si="3">IF(OR(E11=$L$4),(H11+I11),I11)</f>
        <v>466.66666666666669</v>
      </c>
      <c r="K11" s="97">
        <f t="shared" ref="K11:K42" si="4">IFERROR((G11-H11),"")</f>
        <v>20000</v>
      </c>
    </row>
    <row r="12" spans="2:20" ht="15" customHeight="1" x14ac:dyDescent="0.2">
      <c r="B12" s="80"/>
      <c r="C12" s="80"/>
      <c r="D12" s="80"/>
      <c r="E12" s="99">
        <f>IF(SUM(ROWS($E$11:E12))&gt;$L$4,"",SUM(ROWS($E$11:E12)))</f>
        <v>2</v>
      </c>
      <c r="F12" s="96">
        <f t="shared" si="0"/>
        <v>44401</v>
      </c>
      <c r="G12" s="97">
        <f t="shared" ref="G12:G43" si="5">IF(LEN(E12)&gt;0,IFERROR((K11),""),"")</f>
        <v>20000</v>
      </c>
      <c r="H12" s="98">
        <f t="shared" si="1"/>
        <v>0</v>
      </c>
      <c r="I12" s="97">
        <f t="shared" si="2"/>
        <v>466.66666666666669</v>
      </c>
      <c r="J12" s="97">
        <f t="shared" si="3"/>
        <v>466.66666666666669</v>
      </c>
      <c r="K12" s="97">
        <f t="shared" si="4"/>
        <v>20000</v>
      </c>
    </row>
    <row r="13" spans="2:20" ht="15" customHeight="1" x14ac:dyDescent="0.2">
      <c r="E13" s="99">
        <f>IF(SUM(ROWS($E$11:E13))&gt;$L$4,"",SUM(ROWS($E$11:E13)))</f>
        <v>3</v>
      </c>
      <c r="F13" s="96">
        <f t="shared" si="0"/>
        <v>44432</v>
      </c>
      <c r="G13" s="97">
        <f t="shared" si="5"/>
        <v>20000</v>
      </c>
      <c r="H13" s="98">
        <f t="shared" si="1"/>
        <v>0</v>
      </c>
      <c r="I13" s="97">
        <f t="shared" si="2"/>
        <v>466.66666666666669</v>
      </c>
      <c r="J13" s="97">
        <f t="shared" si="3"/>
        <v>466.66666666666669</v>
      </c>
      <c r="K13" s="97">
        <f t="shared" si="4"/>
        <v>20000</v>
      </c>
    </row>
    <row r="14" spans="2:20" ht="15" customHeight="1" x14ac:dyDescent="0.2">
      <c r="E14" s="99">
        <f>IF(SUM(ROWS($E$11:E14))&gt;$L$4,"",SUM(ROWS($E$11:E14)))</f>
        <v>4</v>
      </c>
      <c r="F14" s="96">
        <f t="shared" si="0"/>
        <v>44463</v>
      </c>
      <c r="G14" s="97">
        <f t="shared" si="5"/>
        <v>20000</v>
      </c>
      <c r="H14" s="98">
        <f t="shared" si="1"/>
        <v>0</v>
      </c>
      <c r="I14" s="97">
        <f t="shared" si="2"/>
        <v>466.66666666666669</v>
      </c>
      <c r="J14" s="97">
        <f t="shared" si="3"/>
        <v>466.66666666666669</v>
      </c>
      <c r="K14" s="97">
        <f t="shared" si="4"/>
        <v>20000</v>
      </c>
    </row>
    <row r="15" spans="2:20" ht="15" customHeight="1" x14ac:dyDescent="0.2">
      <c r="E15" s="99">
        <f>IF(SUM(ROWS($E$11:E15))&gt;$L$4,"",SUM(ROWS($E$11:E15)))</f>
        <v>5</v>
      </c>
      <c r="F15" s="96">
        <f t="shared" si="0"/>
        <v>44493</v>
      </c>
      <c r="G15" s="97">
        <f t="shared" si="5"/>
        <v>20000</v>
      </c>
      <c r="H15" s="98">
        <f t="shared" si="1"/>
        <v>0</v>
      </c>
      <c r="I15" s="97">
        <f t="shared" si="2"/>
        <v>466.66666666666669</v>
      </c>
      <c r="J15" s="97">
        <f t="shared" si="3"/>
        <v>466.66666666666669</v>
      </c>
      <c r="K15" s="97">
        <f t="shared" si="4"/>
        <v>20000</v>
      </c>
    </row>
    <row r="16" spans="2:20" ht="15" customHeight="1" x14ac:dyDescent="0.2">
      <c r="E16" s="99">
        <f>IF(SUM(ROWS($E$11:E16))&gt;$L$4,"",SUM(ROWS($E$11:E16)))</f>
        <v>6</v>
      </c>
      <c r="F16" s="96">
        <f t="shared" si="0"/>
        <v>44524</v>
      </c>
      <c r="G16" s="97">
        <f t="shared" si="5"/>
        <v>20000</v>
      </c>
      <c r="H16" s="98">
        <f t="shared" si="1"/>
        <v>0</v>
      </c>
      <c r="I16" s="97">
        <f t="shared" si="2"/>
        <v>466.66666666666669</v>
      </c>
      <c r="J16" s="97">
        <f t="shared" si="3"/>
        <v>466.66666666666669</v>
      </c>
      <c r="K16" s="97">
        <f t="shared" si="4"/>
        <v>20000</v>
      </c>
    </row>
    <row r="17" spans="5:11" ht="15" customHeight="1" x14ac:dyDescent="0.2">
      <c r="E17" s="99">
        <f>IF(SUM(ROWS($E$11:E17))&gt;$L$4,"",SUM(ROWS($E$11:E17)))</f>
        <v>7</v>
      </c>
      <c r="F17" s="96">
        <f t="shared" si="0"/>
        <v>44554</v>
      </c>
      <c r="G17" s="97">
        <f t="shared" si="5"/>
        <v>20000</v>
      </c>
      <c r="H17" s="98">
        <f t="shared" si="1"/>
        <v>0</v>
      </c>
      <c r="I17" s="97">
        <f t="shared" si="2"/>
        <v>466.66666666666669</v>
      </c>
      <c r="J17" s="97">
        <f t="shared" si="3"/>
        <v>466.66666666666669</v>
      </c>
      <c r="K17" s="97">
        <f t="shared" si="4"/>
        <v>20000</v>
      </c>
    </row>
    <row r="18" spans="5:11" ht="15" customHeight="1" x14ac:dyDescent="0.2">
      <c r="E18" s="99">
        <f>IF(SUM(ROWS($E$11:E18))&gt;$L$4,"",SUM(ROWS($E$11:E18)))</f>
        <v>8</v>
      </c>
      <c r="F18" s="96">
        <f t="shared" si="0"/>
        <v>44585</v>
      </c>
      <c r="G18" s="97">
        <f t="shared" si="5"/>
        <v>20000</v>
      </c>
      <c r="H18" s="98">
        <f t="shared" si="1"/>
        <v>0</v>
      </c>
      <c r="I18" s="97">
        <f t="shared" si="2"/>
        <v>466.66666666666669</v>
      </c>
      <c r="J18" s="97">
        <f t="shared" si="3"/>
        <v>466.66666666666669</v>
      </c>
      <c r="K18" s="97">
        <f t="shared" si="4"/>
        <v>20000</v>
      </c>
    </row>
    <row r="19" spans="5:11" ht="15" customHeight="1" x14ac:dyDescent="0.2">
      <c r="E19" s="99">
        <f>IF(SUM(ROWS($E$11:E19))&gt;$L$4,"",SUM(ROWS($E$11:E19)))</f>
        <v>9</v>
      </c>
      <c r="F19" s="96">
        <f t="shared" si="0"/>
        <v>44616</v>
      </c>
      <c r="G19" s="97">
        <f t="shared" si="5"/>
        <v>20000</v>
      </c>
      <c r="H19" s="98">
        <f t="shared" si="1"/>
        <v>0</v>
      </c>
      <c r="I19" s="97">
        <f t="shared" si="2"/>
        <v>466.66666666666669</v>
      </c>
      <c r="J19" s="97">
        <f t="shared" si="3"/>
        <v>466.66666666666669</v>
      </c>
      <c r="K19" s="97">
        <f t="shared" si="4"/>
        <v>20000</v>
      </c>
    </row>
    <row r="20" spans="5:11" ht="15" customHeight="1" x14ac:dyDescent="0.2">
      <c r="E20" s="99">
        <f>IF(SUM(ROWS($E$11:E20))&gt;$L$4,"",SUM(ROWS($E$11:E20)))</f>
        <v>10</v>
      </c>
      <c r="F20" s="96">
        <f t="shared" si="0"/>
        <v>44644</v>
      </c>
      <c r="G20" s="97">
        <f t="shared" si="5"/>
        <v>20000</v>
      </c>
      <c r="H20" s="98">
        <f t="shared" si="1"/>
        <v>0</v>
      </c>
      <c r="I20" s="97">
        <f t="shared" si="2"/>
        <v>466.66666666666669</v>
      </c>
      <c r="J20" s="97">
        <f t="shared" si="3"/>
        <v>466.66666666666669</v>
      </c>
      <c r="K20" s="97">
        <f t="shared" si="4"/>
        <v>20000</v>
      </c>
    </row>
    <row r="21" spans="5:11" ht="15" customHeight="1" x14ac:dyDescent="0.2">
      <c r="E21" s="99">
        <f>IF(SUM(ROWS($E$11:E21))&gt;$L$4,"",SUM(ROWS($E$11:E21)))</f>
        <v>11</v>
      </c>
      <c r="F21" s="96">
        <f t="shared" si="0"/>
        <v>44675</v>
      </c>
      <c r="G21" s="97">
        <f t="shared" si="5"/>
        <v>20000</v>
      </c>
      <c r="H21" s="98">
        <f t="shared" si="1"/>
        <v>0</v>
      </c>
      <c r="I21" s="97">
        <f t="shared" si="2"/>
        <v>466.66666666666669</v>
      </c>
      <c r="J21" s="97">
        <f t="shared" si="3"/>
        <v>466.66666666666669</v>
      </c>
      <c r="K21" s="97">
        <f t="shared" si="4"/>
        <v>20000</v>
      </c>
    </row>
    <row r="22" spans="5:11" ht="15" customHeight="1" x14ac:dyDescent="0.2">
      <c r="E22" s="99">
        <f>IF(SUM(ROWS($E$11:E22))&gt;$L$4,"",SUM(ROWS($E$11:E22)))</f>
        <v>12</v>
      </c>
      <c r="F22" s="96">
        <f t="shared" si="0"/>
        <v>44705</v>
      </c>
      <c r="G22" s="97">
        <f t="shared" si="5"/>
        <v>20000</v>
      </c>
      <c r="H22" s="98">
        <f t="shared" si="1"/>
        <v>0</v>
      </c>
      <c r="I22" s="97">
        <f t="shared" si="2"/>
        <v>466.66666666666669</v>
      </c>
      <c r="J22" s="97">
        <f t="shared" si="3"/>
        <v>466.66666666666669</v>
      </c>
      <c r="K22" s="97">
        <f t="shared" si="4"/>
        <v>20000</v>
      </c>
    </row>
    <row r="23" spans="5:11" ht="15" customHeight="1" x14ac:dyDescent="0.2">
      <c r="E23" s="99">
        <f>IF(SUM(ROWS($E$11:E23))&gt;$L$4,"",SUM(ROWS($E$11:E23)))</f>
        <v>13</v>
      </c>
      <c r="F23" s="96">
        <f t="shared" si="0"/>
        <v>44736</v>
      </c>
      <c r="G23" s="97">
        <f t="shared" si="5"/>
        <v>20000</v>
      </c>
      <c r="H23" s="98">
        <f t="shared" si="1"/>
        <v>0</v>
      </c>
      <c r="I23" s="97">
        <f t="shared" si="2"/>
        <v>466.66666666666669</v>
      </c>
      <c r="J23" s="97">
        <f t="shared" si="3"/>
        <v>466.66666666666669</v>
      </c>
      <c r="K23" s="97">
        <f t="shared" si="4"/>
        <v>20000</v>
      </c>
    </row>
    <row r="24" spans="5:11" ht="15" customHeight="1" x14ac:dyDescent="0.2">
      <c r="E24" s="99">
        <f>IF(SUM(ROWS($E$11:E24))&gt;$L$4,"",SUM(ROWS($E$11:E24)))</f>
        <v>14</v>
      </c>
      <c r="F24" s="96">
        <f t="shared" si="0"/>
        <v>44766</v>
      </c>
      <c r="G24" s="97">
        <f t="shared" si="5"/>
        <v>20000</v>
      </c>
      <c r="H24" s="98">
        <f t="shared" si="1"/>
        <v>0</v>
      </c>
      <c r="I24" s="97">
        <f t="shared" si="2"/>
        <v>466.66666666666669</v>
      </c>
      <c r="J24" s="97">
        <f t="shared" si="3"/>
        <v>466.66666666666669</v>
      </c>
      <c r="K24" s="97">
        <f t="shared" si="4"/>
        <v>20000</v>
      </c>
    </row>
    <row r="25" spans="5:11" ht="15" customHeight="1" x14ac:dyDescent="0.2">
      <c r="E25" s="99">
        <f>IF(SUM(ROWS($E$11:E25))&gt;$L$4,"",SUM(ROWS($E$11:E25)))</f>
        <v>15</v>
      </c>
      <c r="F25" s="96">
        <f t="shared" si="0"/>
        <v>44797</v>
      </c>
      <c r="G25" s="97">
        <f t="shared" si="5"/>
        <v>20000</v>
      </c>
      <c r="H25" s="98">
        <f t="shared" si="1"/>
        <v>0</v>
      </c>
      <c r="I25" s="97">
        <f t="shared" si="2"/>
        <v>466.66666666666669</v>
      </c>
      <c r="J25" s="97">
        <f t="shared" si="3"/>
        <v>466.66666666666669</v>
      </c>
      <c r="K25" s="97">
        <f t="shared" si="4"/>
        <v>20000</v>
      </c>
    </row>
    <row r="26" spans="5:11" ht="15" customHeight="1" x14ac:dyDescent="0.2">
      <c r="E26" s="99">
        <f>IF(SUM(ROWS($E$11:E26))&gt;$L$4,"",SUM(ROWS($E$11:E26)))</f>
        <v>16</v>
      </c>
      <c r="F26" s="96">
        <f t="shared" si="0"/>
        <v>44828</v>
      </c>
      <c r="G26" s="97">
        <f t="shared" si="5"/>
        <v>20000</v>
      </c>
      <c r="H26" s="98">
        <f t="shared" si="1"/>
        <v>0</v>
      </c>
      <c r="I26" s="97">
        <f t="shared" si="2"/>
        <v>466.66666666666669</v>
      </c>
      <c r="J26" s="97">
        <f t="shared" si="3"/>
        <v>466.66666666666669</v>
      </c>
      <c r="K26" s="97">
        <f t="shared" si="4"/>
        <v>20000</v>
      </c>
    </row>
    <row r="27" spans="5:11" ht="15" customHeight="1" x14ac:dyDescent="0.2">
      <c r="E27" s="99">
        <f>IF(SUM(ROWS($E$11:E27))&gt;$L$4,"",SUM(ROWS($E$11:E27)))</f>
        <v>17</v>
      </c>
      <c r="F27" s="96">
        <f t="shared" si="0"/>
        <v>44858</v>
      </c>
      <c r="G27" s="97">
        <f t="shared" si="5"/>
        <v>20000</v>
      </c>
      <c r="H27" s="98">
        <f t="shared" si="1"/>
        <v>0</v>
      </c>
      <c r="I27" s="97">
        <f t="shared" si="2"/>
        <v>466.66666666666669</v>
      </c>
      <c r="J27" s="97">
        <f t="shared" si="3"/>
        <v>466.66666666666669</v>
      </c>
      <c r="K27" s="97">
        <f t="shared" si="4"/>
        <v>20000</v>
      </c>
    </row>
    <row r="28" spans="5:11" ht="15" customHeight="1" x14ac:dyDescent="0.2">
      <c r="E28" s="99">
        <f>IF(SUM(ROWS($E$11:E28))&gt;$L$4,"",SUM(ROWS($E$11:E28)))</f>
        <v>18</v>
      </c>
      <c r="F28" s="96">
        <f t="shared" si="0"/>
        <v>44889</v>
      </c>
      <c r="G28" s="97">
        <f t="shared" si="5"/>
        <v>20000</v>
      </c>
      <c r="H28" s="98">
        <f t="shared" si="1"/>
        <v>0</v>
      </c>
      <c r="I28" s="97">
        <f t="shared" si="2"/>
        <v>466.66666666666669</v>
      </c>
      <c r="J28" s="97">
        <f t="shared" si="3"/>
        <v>466.66666666666669</v>
      </c>
      <c r="K28" s="97">
        <f t="shared" si="4"/>
        <v>20000</v>
      </c>
    </row>
    <row r="29" spans="5:11" ht="15" customHeight="1" x14ac:dyDescent="0.2">
      <c r="E29" s="99">
        <f>IF(SUM(ROWS($E$11:E29))&gt;$L$4,"",SUM(ROWS($E$11:E29)))</f>
        <v>19</v>
      </c>
      <c r="F29" s="96">
        <f t="shared" si="0"/>
        <v>44919</v>
      </c>
      <c r="G29" s="97">
        <f t="shared" si="5"/>
        <v>20000</v>
      </c>
      <c r="H29" s="98">
        <f t="shared" si="1"/>
        <v>0</v>
      </c>
      <c r="I29" s="97">
        <f t="shared" si="2"/>
        <v>466.66666666666669</v>
      </c>
      <c r="J29" s="97">
        <f t="shared" si="3"/>
        <v>466.66666666666669</v>
      </c>
      <c r="K29" s="97">
        <f t="shared" si="4"/>
        <v>20000</v>
      </c>
    </row>
    <row r="30" spans="5:11" ht="15" customHeight="1" x14ac:dyDescent="0.2">
      <c r="E30" s="99">
        <f>IF(SUM(ROWS($E$11:E30))&gt;$L$4,"",SUM(ROWS($E$11:E30)))</f>
        <v>20</v>
      </c>
      <c r="F30" s="96">
        <f t="shared" si="0"/>
        <v>44950</v>
      </c>
      <c r="G30" s="97">
        <f t="shared" si="5"/>
        <v>20000</v>
      </c>
      <c r="H30" s="98">
        <f t="shared" si="1"/>
        <v>0</v>
      </c>
      <c r="I30" s="97">
        <f t="shared" si="2"/>
        <v>466.66666666666669</v>
      </c>
      <c r="J30" s="97">
        <f t="shared" si="3"/>
        <v>466.66666666666669</v>
      </c>
      <c r="K30" s="97">
        <f t="shared" si="4"/>
        <v>20000</v>
      </c>
    </row>
    <row r="31" spans="5:11" ht="15" customHeight="1" x14ac:dyDescent="0.2">
      <c r="E31" s="99">
        <f>IF(SUM(ROWS($E$11:E31))&gt;$L$4,"",SUM(ROWS($E$11:E31)))</f>
        <v>21</v>
      </c>
      <c r="F31" s="96">
        <f t="shared" si="0"/>
        <v>44981</v>
      </c>
      <c r="G31" s="97">
        <f t="shared" si="5"/>
        <v>20000</v>
      </c>
      <c r="H31" s="98">
        <f t="shared" si="1"/>
        <v>0</v>
      </c>
      <c r="I31" s="97">
        <f t="shared" si="2"/>
        <v>466.66666666666669</v>
      </c>
      <c r="J31" s="97">
        <f t="shared" si="3"/>
        <v>466.66666666666669</v>
      </c>
      <c r="K31" s="97">
        <f t="shared" si="4"/>
        <v>20000</v>
      </c>
    </row>
    <row r="32" spans="5:11" ht="15" customHeight="1" x14ac:dyDescent="0.2">
      <c r="E32" s="99">
        <f>IF(SUM(ROWS($E$11:E32))&gt;$L$4,"",SUM(ROWS($E$11:E32)))</f>
        <v>22</v>
      </c>
      <c r="F32" s="96">
        <f t="shared" si="0"/>
        <v>45009</v>
      </c>
      <c r="G32" s="97">
        <f t="shared" si="5"/>
        <v>20000</v>
      </c>
      <c r="H32" s="98">
        <f t="shared" si="1"/>
        <v>0</v>
      </c>
      <c r="I32" s="97">
        <f t="shared" si="2"/>
        <v>466.66666666666669</v>
      </c>
      <c r="J32" s="97">
        <f t="shared" si="3"/>
        <v>466.66666666666669</v>
      </c>
      <c r="K32" s="97">
        <f t="shared" si="4"/>
        <v>20000</v>
      </c>
    </row>
    <row r="33" spans="5:11" ht="15" customHeight="1" x14ac:dyDescent="0.2">
      <c r="E33" s="99">
        <f>IF(SUM(ROWS($E$11:E33))&gt;$L$4,"",SUM(ROWS($E$11:E33)))</f>
        <v>23</v>
      </c>
      <c r="F33" s="96">
        <f t="shared" si="0"/>
        <v>45040</v>
      </c>
      <c r="G33" s="97">
        <f t="shared" si="5"/>
        <v>20000</v>
      </c>
      <c r="H33" s="98">
        <f t="shared" si="1"/>
        <v>0</v>
      </c>
      <c r="I33" s="97">
        <f t="shared" si="2"/>
        <v>466.66666666666669</v>
      </c>
      <c r="J33" s="97">
        <f t="shared" si="3"/>
        <v>466.66666666666669</v>
      </c>
      <c r="K33" s="97">
        <f t="shared" si="4"/>
        <v>20000</v>
      </c>
    </row>
    <row r="34" spans="5:11" ht="15" customHeight="1" x14ac:dyDescent="0.2">
      <c r="E34" s="99">
        <f>IF(SUM(ROWS($E$11:E34))&gt;$L$4,"",SUM(ROWS($E$11:E34)))</f>
        <v>24</v>
      </c>
      <c r="F34" s="96">
        <f t="shared" si="0"/>
        <v>45070</v>
      </c>
      <c r="G34" s="97">
        <f t="shared" si="5"/>
        <v>20000</v>
      </c>
      <c r="H34" s="98">
        <f t="shared" si="1"/>
        <v>0</v>
      </c>
      <c r="I34" s="97">
        <f t="shared" si="2"/>
        <v>466.66666666666669</v>
      </c>
      <c r="J34" s="97">
        <f t="shared" si="3"/>
        <v>466.66666666666669</v>
      </c>
      <c r="K34" s="97">
        <f t="shared" si="4"/>
        <v>20000</v>
      </c>
    </row>
    <row r="35" spans="5:11" ht="15" customHeight="1" x14ac:dyDescent="0.2">
      <c r="E35" s="99">
        <f>IF(SUM(ROWS($E$11:E35))&gt;$L$4,"",SUM(ROWS($E$11:E35)))</f>
        <v>25</v>
      </c>
      <c r="F35" s="96">
        <f t="shared" si="0"/>
        <v>45101</v>
      </c>
      <c r="G35" s="97">
        <f t="shared" si="5"/>
        <v>20000</v>
      </c>
      <c r="H35" s="98">
        <f t="shared" si="1"/>
        <v>0</v>
      </c>
      <c r="I35" s="97">
        <f t="shared" si="2"/>
        <v>466.66666666666669</v>
      </c>
      <c r="J35" s="97">
        <f t="shared" si="3"/>
        <v>466.66666666666669</v>
      </c>
      <c r="K35" s="97">
        <f t="shared" si="4"/>
        <v>20000</v>
      </c>
    </row>
    <row r="36" spans="5:11" ht="15" customHeight="1" x14ac:dyDescent="0.2">
      <c r="E36" s="99">
        <f>IF(SUM(ROWS($E$11:E36))&gt;$L$4,"",SUM(ROWS($E$11:E36)))</f>
        <v>26</v>
      </c>
      <c r="F36" s="96">
        <f t="shared" si="0"/>
        <v>45131</v>
      </c>
      <c r="G36" s="97">
        <f t="shared" si="5"/>
        <v>20000</v>
      </c>
      <c r="H36" s="98">
        <f t="shared" si="1"/>
        <v>0</v>
      </c>
      <c r="I36" s="97">
        <f t="shared" si="2"/>
        <v>466.66666666666669</v>
      </c>
      <c r="J36" s="97">
        <f t="shared" si="3"/>
        <v>466.66666666666669</v>
      </c>
      <c r="K36" s="97">
        <f t="shared" si="4"/>
        <v>20000</v>
      </c>
    </row>
    <row r="37" spans="5:11" ht="15" customHeight="1" x14ac:dyDescent="0.2">
      <c r="E37" s="99">
        <f>IF(SUM(ROWS($E$11:E37))&gt;$L$4,"",SUM(ROWS($E$11:E37)))</f>
        <v>27</v>
      </c>
      <c r="F37" s="96">
        <f t="shared" si="0"/>
        <v>45162</v>
      </c>
      <c r="G37" s="97">
        <f t="shared" si="5"/>
        <v>20000</v>
      </c>
      <c r="H37" s="98">
        <f t="shared" si="1"/>
        <v>0</v>
      </c>
      <c r="I37" s="97">
        <f t="shared" si="2"/>
        <v>466.66666666666669</v>
      </c>
      <c r="J37" s="97">
        <f t="shared" si="3"/>
        <v>466.66666666666669</v>
      </c>
      <c r="K37" s="97">
        <f t="shared" si="4"/>
        <v>20000</v>
      </c>
    </row>
    <row r="38" spans="5:11" ht="15" customHeight="1" x14ac:dyDescent="0.2">
      <c r="E38" s="99">
        <f>IF(SUM(ROWS($E$11:E38))&gt;$L$4,"",SUM(ROWS($E$11:E38)))</f>
        <v>28</v>
      </c>
      <c r="F38" s="96">
        <f t="shared" si="0"/>
        <v>45193</v>
      </c>
      <c r="G38" s="97">
        <f t="shared" si="5"/>
        <v>20000</v>
      </c>
      <c r="H38" s="98">
        <f t="shared" si="1"/>
        <v>0</v>
      </c>
      <c r="I38" s="97">
        <f t="shared" si="2"/>
        <v>466.66666666666669</v>
      </c>
      <c r="J38" s="97">
        <f t="shared" si="3"/>
        <v>466.66666666666669</v>
      </c>
      <c r="K38" s="97">
        <f t="shared" si="4"/>
        <v>20000</v>
      </c>
    </row>
    <row r="39" spans="5:11" ht="15" customHeight="1" x14ac:dyDescent="0.2">
      <c r="E39" s="99">
        <f>IF(SUM(ROWS($E$11:E39))&gt;$L$4,"",SUM(ROWS($E$11:E39)))</f>
        <v>29</v>
      </c>
      <c r="F39" s="96">
        <f t="shared" si="0"/>
        <v>45223</v>
      </c>
      <c r="G39" s="97">
        <f t="shared" si="5"/>
        <v>20000</v>
      </c>
      <c r="H39" s="98">
        <f t="shared" si="1"/>
        <v>0</v>
      </c>
      <c r="I39" s="97">
        <f t="shared" si="2"/>
        <v>466.66666666666669</v>
      </c>
      <c r="J39" s="97">
        <f t="shared" si="3"/>
        <v>466.66666666666669</v>
      </c>
      <c r="K39" s="97">
        <f t="shared" si="4"/>
        <v>20000</v>
      </c>
    </row>
    <row r="40" spans="5:11" ht="15" customHeight="1" x14ac:dyDescent="0.2">
      <c r="E40" s="99">
        <f>IF(SUM(ROWS($E$11:E40))&gt;$L$4,"",SUM(ROWS($E$11:E40)))</f>
        <v>30</v>
      </c>
      <c r="F40" s="96">
        <f t="shared" si="0"/>
        <v>45254</v>
      </c>
      <c r="G40" s="97">
        <f t="shared" si="5"/>
        <v>20000</v>
      </c>
      <c r="H40" s="98">
        <f t="shared" si="1"/>
        <v>0</v>
      </c>
      <c r="I40" s="97">
        <f t="shared" si="2"/>
        <v>466.66666666666669</v>
      </c>
      <c r="J40" s="97">
        <f t="shared" si="3"/>
        <v>466.66666666666669</v>
      </c>
      <c r="K40" s="97">
        <f t="shared" si="4"/>
        <v>20000</v>
      </c>
    </row>
    <row r="41" spans="5:11" ht="15" customHeight="1" x14ac:dyDescent="0.2">
      <c r="E41" s="99">
        <f>IF(SUM(ROWS($E$11:E41))&gt;$L$4,"",SUM(ROWS($E$11:E41)))</f>
        <v>31</v>
      </c>
      <c r="F41" s="96">
        <f t="shared" si="0"/>
        <v>45284</v>
      </c>
      <c r="G41" s="97">
        <f t="shared" si="5"/>
        <v>20000</v>
      </c>
      <c r="H41" s="98">
        <f t="shared" si="1"/>
        <v>0</v>
      </c>
      <c r="I41" s="97">
        <f t="shared" si="2"/>
        <v>466.66666666666669</v>
      </c>
      <c r="J41" s="97">
        <f t="shared" si="3"/>
        <v>466.66666666666669</v>
      </c>
      <c r="K41" s="97">
        <f t="shared" si="4"/>
        <v>20000</v>
      </c>
    </row>
    <row r="42" spans="5:11" ht="15" customHeight="1" x14ac:dyDescent="0.2">
      <c r="E42" s="99">
        <f>IF(SUM(ROWS($E$11:E42))&gt;$L$4,"",SUM(ROWS($E$11:E42)))</f>
        <v>32</v>
      </c>
      <c r="F42" s="96">
        <f t="shared" si="0"/>
        <v>45315</v>
      </c>
      <c r="G42" s="97">
        <f t="shared" si="5"/>
        <v>20000</v>
      </c>
      <c r="H42" s="98">
        <f t="shared" si="1"/>
        <v>0</v>
      </c>
      <c r="I42" s="97">
        <f t="shared" si="2"/>
        <v>466.66666666666669</v>
      </c>
      <c r="J42" s="97">
        <f t="shared" si="3"/>
        <v>466.66666666666669</v>
      </c>
      <c r="K42" s="97">
        <f t="shared" si="4"/>
        <v>20000</v>
      </c>
    </row>
    <row r="43" spans="5:11" ht="15" customHeight="1" x14ac:dyDescent="0.2">
      <c r="E43" s="99">
        <f>IF(SUM(ROWS($E$11:E43))&gt;$L$4,"",SUM(ROWS($E$11:E43)))</f>
        <v>33</v>
      </c>
      <c r="F43" s="96">
        <f t="shared" ref="F43:F70" si="6">IFERROR(DATE(YEAR(Fecha),MONTH(Fecha)+E43,DAY(Fecha)),"")</f>
        <v>45346</v>
      </c>
      <c r="G43" s="97">
        <f t="shared" si="5"/>
        <v>20000</v>
      </c>
      <c r="H43" s="98">
        <f t="shared" ref="H43:H70" si="7">IF(LEN(E43)&gt;0,IF(LEN(E43)&gt;0,IF(OR(E43=$L$4),G43,0)),"")</f>
        <v>0</v>
      </c>
      <c r="I43" s="97">
        <f t="shared" ref="I43:I70" si="8">IF(LEN(E43)&gt;0,G43*$F$6,"")</f>
        <v>466.66666666666669</v>
      </c>
      <c r="J43" s="97">
        <f t="shared" ref="J43:J70" si="9">IF(OR(E43=$L$4),(H43+I43),I43)</f>
        <v>466.66666666666669</v>
      </c>
      <c r="K43" s="97">
        <f t="shared" ref="K43:K70" si="10">IFERROR((G43-H43),"")</f>
        <v>20000</v>
      </c>
    </row>
    <row r="44" spans="5:11" ht="15" customHeight="1" x14ac:dyDescent="0.2">
      <c r="E44" s="99">
        <f>IF(SUM(ROWS($E$11:E44))&gt;$L$4,"",SUM(ROWS($E$11:E44)))</f>
        <v>34</v>
      </c>
      <c r="F44" s="96">
        <f t="shared" si="6"/>
        <v>45375</v>
      </c>
      <c r="G44" s="97">
        <f t="shared" ref="G44:G70" si="11">IF(LEN(E44)&gt;0,IFERROR((K43),""),"")</f>
        <v>20000</v>
      </c>
      <c r="H44" s="98">
        <f t="shared" si="7"/>
        <v>0</v>
      </c>
      <c r="I44" s="97">
        <f t="shared" si="8"/>
        <v>466.66666666666669</v>
      </c>
      <c r="J44" s="97">
        <f t="shared" si="9"/>
        <v>466.66666666666669</v>
      </c>
      <c r="K44" s="97">
        <f t="shared" si="10"/>
        <v>20000</v>
      </c>
    </row>
    <row r="45" spans="5:11" ht="15" customHeight="1" x14ac:dyDescent="0.2">
      <c r="E45" s="99">
        <f>IF(SUM(ROWS($E$11:E45))&gt;$L$4,"",SUM(ROWS($E$11:E45)))</f>
        <v>35</v>
      </c>
      <c r="F45" s="96">
        <f t="shared" si="6"/>
        <v>45406</v>
      </c>
      <c r="G45" s="97">
        <f t="shared" si="11"/>
        <v>20000</v>
      </c>
      <c r="H45" s="98">
        <f t="shared" si="7"/>
        <v>0</v>
      </c>
      <c r="I45" s="97">
        <f t="shared" si="8"/>
        <v>466.66666666666669</v>
      </c>
      <c r="J45" s="97">
        <f t="shared" si="9"/>
        <v>466.66666666666669</v>
      </c>
      <c r="K45" s="97">
        <f t="shared" si="10"/>
        <v>20000</v>
      </c>
    </row>
    <row r="46" spans="5:11" ht="15" customHeight="1" x14ac:dyDescent="0.2">
      <c r="E46" s="99">
        <f>IF(SUM(ROWS($E$11:E46))&gt;$L$4,"",SUM(ROWS($E$11:E46)))</f>
        <v>36</v>
      </c>
      <c r="F46" s="96">
        <f t="shared" si="6"/>
        <v>45436</v>
      </c>
      <c r="G46" s="97">
        <f t="shared" si="11"/>
        <v>20000</v>
      </c>
      <c r="H46" s="98">
        <f t="shared" si="7"/>
        <v>20000</v>
      </c>
      <c r="I46" s="97">
        <f t="shared" si="8"/>
        <v>466.66666666666669</v>
      </c>
      <c r="J46" s="97">
        <f t="shared" si="9"/>
        <v>20466.666666666668</v>
      </c>
      <c r="K46" s="97">
        <f t="shared" si="10"/>
        <v>0</v>
      </c>
    </row>
    <row r="47" spans="5:11" ht="15" customHeight="1" x14ac:dyDescent="0.2">
      <c r="E47" s="99" t="str">
        <f>IF(SUM(ROWS($E$11:E47))&gt;$L$4,"",SUM(ROWS($E$11:E47)))</f>
        <v/>
      </c>
      <c r="F47" s="96" t="str">
        <f t="shared" si="6"/>
        <v/>
      </c>
      <c r="G47" s="97" t="str">
        <f t="shared" si="11"/>
        <v/>
      </c>
      <c r="H47" s="98" t="str">
        <f t="shared" si="7"/>
        <v/>
      </c>
      <c r="I47" s="97" t="str">
        <f t="shared" si="8"/>
        <v/>
      </c>
      <c r="J47" s="97" t="str">
        <f t="shared" si="9"/>
        <v/>
      </c>
      <c r="K47" s="97" t="str">
        <f t="shared" si="10"/>
        <v/>
      </c>
    </row>
    <row r="48" spans="5:11" ht="15" customHeight="1" x14ac:dyDescent="0.2">
      <c r="E48" s="99" t="str">
        <f>IF(SUM(ROWS($E$11:E48))&gt;$L$4,"",SUM(ROWS($E$11:E48)))</f>
        <v/>
      </c>
      <c r="F48" s="96" t="str">
        <f t="shared" si="6"/>
        <v/>
      </c>
      <c r="G48" s="97" t="str">
        <f t="shared" si="11"/>
        <v/>
      </c>
      <c r="H48" s="98" t="str">
        <f t="shared" si="7"/>
        <v/>
      </c>
      <c r="I48" s="97" t="str">
        <f t="shared" si="8"/>
        <v/>
      </c>
      <c r="J48" s="97" t="str">
        <f t="shared" si="9"/>
        <v/>
      </c>
      <c r="K48" s="97" t="str">
        <f t="shared" si="10"/>
        <v/>
      </c>
    </row>
    <row r="49" spans="5:11" ht="15" customHeight="1" x14ac:dyDescent="0.2">
      <c r="E49" s="99" t="str">
        <f>IF(SUM(ROWS($E$11:E49))&gt;$L$4,"",SUM(ROWS($E$11:E49)))</f>
        <v/>
      </c>
      <c r="F49" s="96" t="str">
        <f t="shared" si="6"/>
        <v/>
      </c>
      <c r="G49" s="97" t="str">
        <f t="shared" si="11"/>
        <v/>
      </c>
      <c r="H49" s="98" t="str">
        <f t="shared" si="7"/>
        <v/>
      </c>
      <c r="I49" s="97" t="str">
        <f t="shared" si="8"/>
        <v/>
      </c>
      <c r="J49" s="97" t="str">
        <f t="shared" si="9"/>
        <v/>
      </c>
      <c r="K49" s="97" t="str">
        <f t="shared" si="10"/>
        <v/>
      </c>
    </row>
    <row r="50" spans="5:11" ht="15" customHeight="1" x14ac:dyDescent="0.2">
      <c r="E50" s="99" t="str">
        <f>IF(SUM(ROWS($E$11:E50))&gt;$L$4,"",SUM(ROWS($E$11:E50)))</f>
        <v/>
      </c>
      <c r="F50" s="96" t="str">
        <f t="shared" si="6"/>
        <v/>
      </c>
      <c r="G50" s="97" t="str">
        <f t="shared" si="11"/>
        <v/>
      </c>
      <c r="H50" s="98" t="str">
        <f t="shared" si="7"/>
        <v/>
      </c>
      <c r="I50" s="97" t="str">
        <f t="shared" si="8"/>
        <v/>
      </c>
      <c r="J50" s="97" t="str">
        <f t="shared" si="9"/>
        <v/>
      </c>
      <c r="K50" s="97" t="str">
        <f t="shared" si="10"/>
        <v/>
      </c>
    </row>
    <row r="51" spans="5:11" ht="15" customHeight="1" x14ac:dyDescent="0.2">
      <c r="E51" s="99" t="str">
        <f>IF(SUM(ROWS($E$11:E51))&gt;$L$4,"",SUM(ROWS($E$11:E51)))</f>
        <v/>
      </c>
      <c r="F51" s="96" t="str">
        <f t="shared" si="6"/>
        <v/>
      </c>
      <c r="G51" s="97" t="str">
        <f t="shared" si="11"/>
        <v/>
      </c>
      <c r="H51" s="98" t="str">
        <f t="shared" si="7"/>
        <v/>
      </c>
      <c r="I51" s="97" t="str">
        <f t="shared" si="8"/>
        <v/>
      </c>
      <c r="J51" s="97" t="str">
        <f t="shared" si="9"/>
        <v/>
      </c>
      <c r="K51" s="97" t="str">
        <f t="shared" si="10"/>
        <v/>
      </c>
    </row>
    <row r="52" spans="5:11" ht="15" customHeight="1" x14ac:dyDescent="0.2">
      <c r="E52" s="99" t="str">
        <f>IF(SUM(ROWS($E$11:E52))&gt;$L$4,"",SUM(ROWS($E$11:E52)))</f>
        <v/>
      </c>
      <c r="F52" s="96" t="str">
        <f t="shared" si="6"/>
        <v/>
      </c>
      <c r="G52" s="97" t="str">
        <f t="shared" si="11"/>
        <v/>
      </c>
      <c r="H52" s="98" t="str">
        <f t="shared" si="7"/>
        <v/>
      </c>
      <c r="I52" s="97" t="str">
        <f t="shared" si="8"/>
        <v/>
      </c>
      <c r="J52" s="97" t="str">
        <f t="shared" si="9"/>
        <v/>
      </c>
      <c r="K52" s="97" t="str">
        <f t="shared" si="10"/>
        <v/>
      </c>
    </row>
    <row r="53" spans="5:11" ht="15" customHeight="1" x14ac:dyDescent="0.2">
      <c r="E53" s="99" t="str">
        <f>IF(SUM(ROWS($E$11:E53))&gt;$L$4,"",SUM(ROWS($E$11:E53)))</f>
        <v/>
      </c>
      <c r="F53" s="96" t="str">
        <f t="shared" si="6"/>
        <v/>
      </c>
      <c r="G53" s="97" t="str">
        <f t="shared" si="11"/>
        <v/>
      </c>
      <c r="H53" s="98" t="str">
        <f t="shared" si="7"/>
        <v/>
      </c>
      <c r="I53" s="97" t="str">
        <f t="shared" si="8"/>
        <v/>
      </c>
      <c r="J53" s="97" t="str">
        <f t="shared" si="9"/>
        <v/>
      </c>
      <c r="K53" s="97" t="str">
        <f t="shared" si="10"/>
        <v/>
      </c>
    </row>
    <row r="54" spans="5:11" ht="15" customHeight="1" x14ac:dyDescent="0.2">
      <c r="E54" s="99" t="str">
        <f>IF(SUM(ROWS($E$11:E54))&gt;$L$4,"",SUM(ROWS($E$11:E54)))</f>
        <v/>
      </c>
      <c r="F54" s="96" t="str">
        <f t="shared" si="6"/>
        <v/>
      </c>
      <c r="G54" s="97" t="str">
        <f t="shared" si="11"/>
        <v/>
      </c>
      <c r="H54" s="98" t="str">
        <f t="shared" si="7"/>
        <v/>
      </c>
      <c r="I54" s="97" t="str">
        <f t="shared" si="8"/>
        <v/>
      </c>
      <c r="J54" s="97" t="str">
        <f t="shared" si="9"/>
        <v/>
      </c>
      <c r="K54" s="97" t="str">
        <f t="shared" si="10"/>
        <v/>
      </c>
    </row>
    <row r="55" spans="5:11" ht="15" customHeight="1" x14ac:dyDescent="0.2">
      <c r="E55" s="99" t="str">
        <f>IF(SUM(ROWS($E$11:E55))&gt;$L$4,"",SUM(ROWS($E$11:E55)))</f>
        <v/>
      </c>
      <c r="F55" s="96" t="str">
        <f t="shared" si="6"/>
        <v/>
      </c>
      <c r="G55" s="97" t="str">
        <f t="shared" si="11"/>
        <v/>
      </c>
      <c r="H55" s="98" t="str">
        <f t="shared" si="7"/>
        <v/>
      </c>
      <c r="I55" s="97" t="str">
        <f t="shared" si="8"/>
        <v/>
      </c>
      <c r="J55" s="97" t="str">
        <f t="shared" si="9"/>
        <v/>
      </c>
      <c r="K55" s="97" t="str">
        <f t="shared" si="10"/>
        <v/>
      </c>
    </row>
    <row r="56" spans="5:11" ht="15" customHeight="1" x14ac:dyDescent="0.2">
      <c r="E56" s="99" t="str">
        <f>IF(SUM(ROWS($E$11:E56))&gt;$L$4,"",SUM(ROWS($E$11:E56)))</f>
        <v/>
      </c>
      <c r="F56" s="96" t="str">
        <f t="shared" si="6"/>
        <v/>
      </c>
      <c r="G56" s="97" t="str">
        <f t="shared" si="11"/>
        <v/>
      </c>
      <c r="H56" s="98" t="str">
        <f t="shared" si="7"/>
        <v/>
      </c>
      <c r="I56" s="97" t="str">
        <f t="shared" si="8"/>
        <v/>
      </c>
      <c r="J56" s="97" t="str">
        <f t="shared" si="9"/>
        <v/>
      </c>
      <c r="K56" s="97" t="str">
        <f t="shared" si="10"/>
        <v/>
      </c>
    </row>
    <row r="57" spans="5:11" ht="15" customHeight="1" x14ac:dyDescent="0.2">
      <c r="E57" s="99" t="str">
        <f>IF(SUM(ROWS($E$11:E57))&gt;$L$4,"",SUM(ROWS($E$11:E57)))</f>
        <v/>
      </c>
      <c r="F57" s="96" t="str">
        <f t="shared" si="6"/>
        <v/>
      </c>
      <c r="G57" s="97" t="str">
        <f t="shared" si="11"/>
        <v/>
      </c>
      <c r="H57" s="98" t="str">
        <f t="shared" si="7"/>
        <v/>
      </c>
      <c r="I57" s="97" t="str">
        <f t="shared" si="8"/>
        <v/>
      </c>
      <c r="J57" s="97" t="str">
        <f t="shared" si="9"/>
        <v/>
      </c>
      <c r="K57" s="97" t="str">
        <f t="shared" si="10"/>
        <v/>
      </c>
    </row>
    <row r="58" spans="5:11" ht="15" customHeight="1" x14ac:dyDescent="0.2">
      <c r="E58" s="99" t="str">
        <f>IF(SUM(ROWS($E$11:E58))&gt;$L$4,"",SUM(ROWS($E$11:E58)))</f>
        <v/>
      </c>
      <c r="F58" s="96" t="str">
        <f t="shared" si="6"/>
        <v/>
      </c>
      <c r="G58" s="97" t="str">
        <f t="shared" si="11"/>
        <v/>
      </c>
      <c r="H58" s="98" t="str">
        <f t="shared" si="7"/>
        <v/>
      </c>
      <c r="I58" s="97" t="str">
        <f t="shared" si="8"/>
        <v/>
      </c>
      <c r="J58" s="97" t="str">
        <f t="shared" si="9"/>
        <v/>
      </c>
      <c r="K58" s="97" t="str">
        <f t="shared" si="10"/>
        <v/>
      </c>
    </row>
    <row r="59" spans="5:11" ht="15" customHeight="1" x14ac:dyDescent="0.2">
      <c r="E59" s="99" t="str">
        <f>IF(SUM(ROWS($E$11:E59))&gt;$L$4,"",SUM(ROWS($E$11:E59)))</f>
        <v/>
      </c>
      <c r="F59" s="96" t="str">
        <f t="shared" si="6"/>
        <v/>
      </c>
      <c r="G59" s="97" t="str">
        <f t="shared" si="11"/>
        <v/>
      </c>
      <c r="H59" s="98" t="str">
        <f t="shared" si="7"/>
        <v/>
      </c>
      <c r="I59" s="97" t="str">
        <f t="shared" si="8"/>
        <v/>
      </c>
      <c r="J59" s="97" t="str">
        <f t="shared" si="9"/>
        <v/>
      </c>
      <c r="K59" s="97" t="str">
        <f t="shared" si="10"/>
        <v/>
      </c>
    </row>
    <row r="60" spans="5:11" ht="15" customHeight="1" x14ac:dyDescent="0.2">
      <c r="E60" s="99" t="str">
        <f>IF(SUM(ROWS($E$11:E60))&gt;$L$4,"",SUM(ROWS($E$11:E60)))</f>
        <v/>
      </c>
      <c r="F60" s="96" t="str">
        <f t="shared" si="6"/>
        <v/>
      </c>
      <c r="G60" s="97" t="str">
        <f t="shared" si="11"/>
        <v/>
      </c>
      <c r="H60" s="98" t="str">
        <f t="shared" si="7"/>
        <v/>
      </c>
      <c r="I60" s="97" t="str">
        <f t="shared" si="8"/>
        <v/>
      </c>
      <c r="J60" s="97" t="str">
        <f t="shared" si="9"/>
        <v/>
      </c>
      <c r="K60" s="97" t="str">
        <f t="shared" si="10"/>
        <v/>
      </c>
    </row>
    <row r="61" spans="5:11" ht="15" customHeight="1" x14ac:dyDescent="0.2">
      <c r="E61" s="99" t="str">
        <f>IF(SUM(ROWS($E$11:E61))&gt;$L$4,"",SUM(ROWS($E$11:E61)))</f>
        <v/>
      </c>
      <c r="F61" s="96" t="str">
        <f t="shared" si="6"/>
        <v/>
      </c>
      <c r="G61" s="97" t="str">
        <f t="shared" si="11"/>
        <v/>
      </c>
      <c r="H61" s="98" t="str">
        <f t="shared" si="7"/>
        <v/>
      </c>
      <c r="I61" s="97" t="str">
        <f t="shared" si="8"/>
        <v/>
      </c>
      <c r="J61" s="97" t="str">
        <f t="shared" si="9"/>
        <v/>
      </c>
      <c r="K61" s="97" t="str">
        <f t="shared" si="10"/>
        <v/>
      </c>
    </row>
    <row r="62" spans="5:11" ht="15" customHeight="1" x14ac:dyDescent="0.2">
      <c r="E62" s="99" t="str">
        <f>IF(SUM(ROWS($E$11:E62))&gt;$L$4,"",SUM(ROWS($E$11:E62)))</f>
        <v/>
      </c>
      <c r="F62" s="96" t="str">
        <f t="shared" si="6"/>
        <v/>
      </c>
      <c r="G62" s="97" t="str">
        <f t="shared" si="11"/>
        <v/>
      </c>
      <c r="H62" s="98" t="str">
        <f t="shared" si="7"/>
        <v/>
      </c>
      <c r="I62" s="97" t="str">
        <f t="shared" si="8"/>
        <v/>
      </c>
      <c r="J62" s="97" t="str">
        <f t="shared" si="9"/>
        <v/>
      </c>
      <c r="K62" s="97" t="str">
        <f t="shared" si="10"/>
        <v/>
      </c>
    </row>
    <row r="63" spans="5:11" ht="15" customHeight="1" x14ac:dyDescent="0.2">
      <c r="E63" s="99" t="str">
        <f>IF(SUM(ROWS($E$11:E63))&gt;$L$4,"",SUM(ROWS($E$11:E63)))</f>
        <v/>
      </c>
      <c r="F63" s="96" t="str">
        <f t="shared" si="6"/>
        <v/>
      </c>
      <c r="G63" s="97" t="str">
        <f t="shared" si="11"/>
        <v/>
      </c>
      <c r="H63" s="98" t="str">
        <f t="shared" si="7"/>
        <v/>
      </c>
      <c r="I63" s="97" t="str">
        <f t="shared" si="8"/>
        <v/>
      </c>
      <c r="J63" s="97" t="str">
        <f t="shared" si="9"/>
        <v/>
      </c>
      <c r="K63" s="97" t="str">
        <f t="shared" si="10"/>
        <v/>
      </c>
    </row>
    <row r="64" spans="5:11" ht="15" customHeight="1" x14ac:dyDescent="0.2">
      <c r="E64" s="99" t="str">
        <f>IF(SUM(ROWS($E$11:E64))&gt;$L$4,"",SUM(ROWS($E$11:E64)))</f>
        <v/>
      </c>
      <c r="F64" s="96" t="str">
        <f t="shared" si="6"/>
        <v/>
      </c>
      <c r="G64" s="97" t="str">
        <f t="shared" si="11"/>
        <v/>
      </c>
      <c r="H64" s="98" t="str">
        <f t="shared" si="7"/>
        <v/>
      </c>
      <c r="I64" s="97" t="str">
        <f t="shared" si="8"/>
        <v/>
      </c>
      <c r="J64" s="97" t="str">
        <f t="shared" si="9"/>
        <v/>
      </c>
      <c r="K64" s="97" t="str">
        <f t="shared" si="10"/>
        <v/>
      </c>
    </row>
    <row r="65" spans="5:11" ht="15" customHeight="1" x14ac:dyDescent="0.2">
      <c r="E65" s="99" t="str">
        <f>IF(SUM(ROWS($E$11:E65))&gt;$L$4,"",SUM(ROWS($E$11:E65)))</f>
        <v/>
      </c>
      <c r="F65" s="96" t="str">
        <f t="shared" si="6"/>
        <v/>
      </c>
      <c r="G65" s="97" t="str">
        <f t="shared" si="11"/>
        <v/>
      </c>
      <c r="H65" s="98" t="str">
        <f t="shared" si="7"/>
        <v/>
      </c>
      <c r="I65" s="97" t="str">
        <f t="shared" si="8"/>
        <v/>
      </c>
      <c r="J65" s="97" t="str">
        <f t="shared" si="9"/>
        <v/>
      </c>
      <c r="K65" s="97" t="str">
        <f t="shared" si="10"/>
        <v/>
      </c>
    </row>
    <row r="66" spans="5:11" ht="15" customHeight="1" x14ac:dyDescent="0.2">
      <c r="E66" s="99" t="str">
        <f>IF(SUM(ROWS($E$11:E66))&gt;$L$4,"",SUM(ROWS($E$11:E66)))</f>
        <v/>
      </c>
      <c r="F66" s="96" t="str">
        <f t="shared" si="6"/>
        <v/>
      </c>
      <c r="G66" s="97" t="str">
        <f t="shared" si="11"/>
        <v/>
      </c>
      <c r="H66" s="98" t="str">
        <f t="shared" si="7"/>
        <v/>
      </c>
      <c r="I66" s="97" t="str">
        <f t="shared" si="8"/>
        <v/>
      </c>
      <c r="J66" s="97" t="str">
        <f t="shared" si="9"/>
        <v/>
      </c>
      <c r="K66" s="97" t="str">
        <f t="shared" si="10"/>
        <v/>
      </c>
    </row>
    <row r="67" spans="5:11" ht="15" customHeight="1" x14ac:dyDescent="0.2">
      <c r="E67" s="99" t="str">
        <f>IF(SUM(ROWS($E$11:E67))&gt;$L$4,"",SUM(ROWS($E$11:E67)))</f>
        <v/>
      </c>
      <c r="F67" s="96" t="str">
        <f t="shared" si="6"/>
        <v/>
      </c>
      <c r="G67" s="97" t="str">
        <f t="shared" si="11"/>
        <v/>
      </c>
      <c r="H67" s="98" t="str">
        <f t="shared" si="7"/>
        <v/>
      </c>
      <c r="I67" s="97" t="str">
        <f t="shared" si="8"/>
        <v/>
      </c>
      <c r="J67" s="97" t="str">
        <f t="shared" si="9"/>
        <v/>
      </c>
      <c r="K67" s="97" t="str">
        <f t="shared" si="10"/>
        <v/>
      </c>
    </row>
    <row r="68" spans="5:11" ht="15" customHeight="1" x14ac:dyDescent="0.2">
      <c r="E68" s="99" t="str">
        <f>IF(SUM(ROWS($E$11:E68))&gt;$L$4,"",SUM(ROWS($E$11:E68)))</f>
        <v/>
      </c>
      <c r="F68" s="96" t="str">
        <f t="shared" si="6"/>
        <v/>
      </c>
      <c r="G68" s="97" t="str">
        <f t="shared" si="11"/>
        <v/>
      </c>
      <c r="H68" s="98" t="str">
        <f t="shared" si="7"/>
        <v/>
      </c>
      <c r="I68" s="97" t="str">
        <f t="shared" si="8"/>
        <v/>
      </c>
      <c r="J68" s="97" t="str">
        <f t="shared" si="9"/>
        <v/>
      </c>
      <c r="K68" s="97" t="str">
        <f t="shared" si="10"/>
        <v/>
      </c>
    </row>
    <row r="69" spans="5:11" ht="15" customHeight="1" x14ac:dyDescent="0.2">
      <c r="E69" s="99" t="str">
        <f>IF(SUM(ROWS($E$11:E69))&gt;$L$4,"",SUM(ROWS($E$11:E69)))</f>
        <v/>
      </c>
      <c r="F69" s="96" t="str">
        <f t="shared" si="6"/>
        <v/>
      </c>
      <c r="G69" s="97" t="str">
        <f t="shared" si="11"/>
        <v/>
      </c>
      <c r="H69" s="98" t="str">
        <f t="shared" si="7"/>
        <v/>
      </c>
      <c r="I69" s="97" t="str">
        <f t="shared" si="8"/>
        <v/>
      </c>
      <c r="J69" s="97" t="str">
        <f t="shared" si="9"/>
        <v/>
      </c>
      <c r="K69" s="97" t="str">
        <f t="shared" si="10"/>
        <v/>
      </c>
    </row>
    <row r="70" spans="5:11" ht="15" customHeight="1" x14ac:dyDescent="0.2">
      <c r="E70" s="99" t="str">
        <f>IF(SUM(ROWS($E$11:E70))&gt;$L$4,"",SUM(ROWS($E$11:E70)))</f>
        <v/>
      </c>
      <c r="F70" s="96" t="str">
        <f t="shared" si="6"/>
        <v/>
      </c>
      <c r="G70" s="97" t="str">
        <f t="shared" si="11"/>
        <v/>
      </c>
      <c r="H70" s="98" t="str">
        <f t="shared" si="7"/>
        <v/>
      </c>
      <c r="I70" s="97" t="str">
        <f t="shared" si="8"/>
        <v/>
      </c>
      <c r="J70" s="97" t="str">
        <f t="shared" si="9"/>
        <v/>
      </c>
      <c r="K70" s="97" t="str">
        <f t="shared" si="10"/>
        <v/>
      </c>
    </row>
    <row r="71" spans="5:11" ht="15" customHeight="1" x14ac:dyDescent="0.2">
      <c r="E71" s="100"/>
      <c r="F71" s="94"/>
      <c r="G71" s="94"/>
      <c r="H71" s="94"/>
      <c r="I71" s="94"/>
      <c r="J71" s="94"/>
      <c r="K71" s="94"/>
    </row>
    <row r="72" spans="5:11" ht="15" customHeight="1" x14ac:dyDescent="0.2">
      <c r="E72" s="100"/>
      <c r="F72" s="94"/>
      <c r="G72" s="94"/>
      <c r="H72" s="94"/>
      <c r="I72" s="94"/>
      <c r="J72" s="94"/>
      <c r="K72" s="94"/>
    </row>
    <row r="73" spans="5:11" ht="15" customHeight="1" x14ac:dyDescent="0.2">
      <c r="E73" s="100"/>
      <c r="F73" s="94"/>
      <c r="G73" s="94"/>
      <c r="H73" s="94"/>
      <c r="I73" s="94"/>
      <c r="J73" s="94"/>
      <c r="K73" s="94"/>
    </row>
    <row r="74" spans="5:11" ht="15" customHeight="1" x14ac:dyDescent="0.2">
      <c r="E74" s="100"/>
      <c r="F74" s="94"/>
      <c r="G74" s="94"/>
      <c r="H74" s="94"/>
      <c r="I74" s="94"/>
      <c r="J74" s="94"/>
      <c r="K74" s="94"/>
    </row>
    <row r="75" spans="5:11" ht="15" customHeight="1" x14ac:dyDescent="0.2">
      <c r="E75" s="100"/>
      <c r="F75" s="94"/>
      <c r="G75" s="94"/>
      <c r="H75" s="94"/>
      <c r="I75" s="94"/>
      <c r="J75" s="94"/>
      <c r="K75" s="94"/>
    </row>
    <row r="76" spans="5:11" ht="15" customHeight="1" x14ac:dyDescent="0.2">
      <c r="E76" s="100"/>
      <c r="F76" s="94"/>
      <c r="G76" s="94"/>
      <c r="H76" s="94"/>
      <c r="I76" s="94"/>
      <c r="J76" s="94"/>
      <c r="K76" s="94"/>
    </row>
    <row r="77" spans="5:11" ht="15" customHeight="1" x14ac:dyDescent="0.2">
      <c r="E77" s="100"/>
      <c r="F77" s="94"/>
      <c r="G77" s="94"/>
      <c r="H77" s="94"/>
      <c r="I77" s="94"/>
      <c r="J77" s="94"/>
      <c r="K77" s="94"/>
    </row>
    <row r="78" spans="5:11" ht="15" customHeight="1" x14ac:dyDescent="0.2">
      <c r="E78" s="100"/>
      <c r="F78" s="94"/>
      <c r="G78" s="94"/>
      <c r="H78" s="94"/>
      <c r="I78" s="94"/>
      <c r="J78" s="94"/>
      <c r="K78" s="94"/>
    </row>
    <row r="79" spans="5:11" ht="15" customHeight="1" x14ac:dyDescent="0.2">
      <c r="E79" s="100"/>
      <c r="F79" s="94"/>
      <c r="G79" s="94"/>
      <c r="H79" s="94"/>
      <c r="I79" s="94"/>
      <c r="J79" s="94"/>
      <c r="K79" s="94"/>
    </row>
    <row r="80" spans="5:11" ht="15" customHeight="1" x14ac:dyDescent="0.2">
      <c r="E80" s="100"/>
      <c r="F80" s="94"/>
      <c r="G80" s="94"/>
      <c r="H80" s="94"/>
      <c r="I80" s="94"/>
      <c r="J80" s="94"/>
      <c r="K80" s="94"/>
    </row>
    <row r="81" spans="5:11" ht="15" customHeight="1" x14ac:dyDescent="0.2">
      <c r="E81" s="100"/>
      <c r="F81" s="94"/>
      <c r="G81" s="94"/>
      <c r="H81" s="94"/>
      <c r="I81" s="94"/>
      <c r="J81" s="94"/>
      <c r="K81" s="94"/>
    </row>
    <row r="82" spans="5:11" ht="15" customHeight="1" x14ac:dyDescent="0.2">
      <c r="E82" s="100"/>
      <c r="F82" s="94"/>
      <c r="G82" s="94"/>
      <c r="H82" s="94"/>
      <c r="I82" s="94"/>
      <c r="J82" s="94"/>
      <c r="K82" s="94"/>
    </row>
    <row r="83" spans="5:11" ht="15" customHeight="1" x14ac:dyDescent="0.2">
      <c r="E83" s="100"/>
      <c r="F83" s="94"/>
      <c r="G83" s="94"/>
      <c r="H83" s="94"/>
      <c r="I83" s="94"/>
      <c r="J83" s="94"/>
      <c r="K83" s="94"/>
    </row>
    <row r="84" spans="5:11" ht="15" customHeight="1" x14ac:dyDescent="0.2">
      <c r="E84" s="100"/>
      <c r="F84" s="94"/>
      <c r="G84" s="94"/>
      <c r="H84" s="94"/>
      <c r="I84" s="94"/>
      <c r="J84" s="94"/>
      <c r="K84" s="94"/>
    </row>
    <row r="85" spans="5:11" ht="15" customHeight="1" x14ac:dyDescent="0.2">
      <c r="E85" s="100"/>
      <c r="F85" s="94"/>
      <c r="G85" s="94"/>
      <c r="H85" s="94"/>
      <c r="I85" s="94"/>
      <c r="J85" s="94"/>
      <c r="K85" s="94"/>
    </row>
    <row r="86" spans="5:11" ht="15" customHeight="1" x14ac:dyDescent="0.2">
      <c r="E86" s="100"/>
      <c r="F86" s="94"/>
      <c r="G86" s="94"/>
      <c r="H86" s="94"/>
      <c r="I86" s="94"/>
      <c r="J86" s="94"/>
      <c r="K86" s="94"/>
    </row>
    <row r="87" spans="5:11" ht="15" customHeight="1" x14ac:dyDescent="0.2">
      <c r="E87" s="100"/>
      <c r="F87" s="94"/>
      <c r="G87" s="94"/>
      <c r="H87" s="94"/>
      <c r="I87" s="94"/>
      <c r="J87" s="94"/>
      <c r="K87" s="94"/>
    </row>
    <row r="88" spans="5:11" ht="15" customHeight="1" x14ac:dyDescent="0.2">
      <c r="E88" s="100"/>
      <c r="F88" s="94"/>
      <c r="G88" s="94"/>
      <c r="H88" s="94"/>
      <c r="I88" s="94"/>
      <c r="J88" s="94"/>
      <c r="K88" s="94"/>
    </row>
    <row r="89" spans="5:11" ht="15" customHeight="1" x14ac:dyDescent="0.2">
      <c r="E89" s="100"/>
      <c r="F89" s="94"/>
      <c r="G89" s="94"/>
      <c r="H89" s="94"/>
      <c r="I89" s="94"/>
      <c r="J89" s="94"/>
      <c r="K89" s="94"/>
    </row>
    <row r="90" spans="5:11" ht="15" customHeight="1" x14ac:dyDescent="0.2">
      <c r="E90" s="100"/>
      <c r="F90" s="94"/>
      <c r="G90" s="94"/>
      <c r="H90" s="94"/>
      <c r="I90" s="94"/>
      <c r="J90" s="94"/>
      <c r="K90" s="94"/>
    </row>
    <row r="91" spans="5:11" ht="15" customHeight="1" x14ac:dyDescent="0.2">
      <c r="E91" s="100"/>
      <c r="F91" s="94"/>
      <c r="G91" s="94"/>
      <c r="H91" s="94"/>
      <c r="I91" s="94"/>
      <c r="J91" s="94"/>
      <c r="K91" s="94"/>
    </row>
    <row r="92" spans="5:11" ht="15" customHeight="1" x14ac:dyDescent="0.2">
      <c r="E92" s="100"/>
      <c r="F92" s="94"/>
      <c r="G92" s="94"/>
      <c r="H92" s="94"/>
      <c r="I92" s="94"/>
      <c r="J92" s="94"/>
      <c r="K92" s="94"/>
    </row>
    <row r="93" spans="5:11" ht="15" customHeight="1" x14ac:dyDescent="0.2">
      <c r="E93" s="100"/>
      <c r="F93" s="94"/>
      <c r="G93" s="94"/>
      <c r="H93" s="94"/>
      <c r="I93" s="94"/>
      <c r="J93" s="94"/>
      <c r="K93" s="94"/>
    </row>
    <row r="94" spans="5:11" ht="15" customHeight="1" x14ac:dyDescent="0.2">
      <c r="E94" s="100"/>
      <c r="F94" s="94"/>
      <c r="G94" s="94"/>
      <c r="H94" s="94"/>
      <c r="I94" s="94"/>
      <c r="J94" s="94"/>
      <c r="K94" s="94"/>
    </row>
    <row r="95" spans="5:11" ht="15" customHeight="1" x14ac:dyDescent="0.2">
      <c r="E95" s="100"/>
      <c r="F95" s="94"/>
      <c r="G95" s="94"/>
      <c r="H95" s="94"/>
      <c r="I95" s="94"/>
      <c r="J95" s="94"/>
      <c r="K95" s="94"/>
    </row>
    <row r="96" spans="5:11" ht="15" customHeight="1" x14ac:dyDescent="0.2">
      <c r="E96" s="100"/>
      <c r="F96" s="94"/>
      <c r="G96" s="94"/>
      <c r="H96" s="94"/>
      <c r="I96" s="94"/>
      <c r="J96" s="94"/>
      <c r="K96" s="94"/>
    </row>
    <row r="97" spans="1:11" ht="15" customHeight="1" x14ac:dyDescent="0.2">
      <c r="E97" s="100"/>
      <c r="F97" s="94"/>
      <c r="G97" s="94"/>
      <c r="H97" s="94"/>
      <c r="I97" s="94"/>
      <c r="J97" s="94"/>
      <c r="K97" s="94"/>
    </row>
    <row r="98" spans="1:11" ht="15" customHeight="1" x14ac:dyDescent="0.2">
      <c r="E98" s="100"/>
      <c r="F98" s="94"/>
      <c r="G98" s="94"/>
      <c r="H98" s="94"/>
      <c r="I98" s="94"/>
      <c r="J98" s="94"/>
      <c r="K98" s="94"/>
    </row>
    <row r="99" spans="1:11" ht="15" customHeight="1" x14ac:dyDescent="0.2">
      <c r="E99" s="100"/>
      <c r="F99" s="94"/>
      <c r="G99" s="94"/>
      <c r="H99" s="94"/>
      <c r="I99" s="94"/>
      <c r="J99" s="94"/>
      <c r="K99" s="94"/>
    </row>
    <row r="100" spans="1:11" ht="15" customHeight="1" x14ac:dyDescent="0.2">
      <c r="E100" s="100"/>
      <c r="F100" s="94"/>
      <c r="G100" s="94"/>
      <c r="H100" s="94"/>
      <c r="I100" s="94"/>
      <c r="J100" s="94"/>
      <c r="K100" s="94"/>
    </row>
    <row r="105" spans="1:11" ht="15" customHeight="1" x14ac:dyDescent="0.2">
      <c r="A105" s="84"/>
      <c r="B105" s="84" t="s">
        <v>21</v>
      </c>
      <c r="C105" s="84" t="s">
        <v>21</v>
      </c>
      <c r="D105" s="84" t="s">
        <v>21</v>
      </c>
      <c r="E105" s="84" t="s">
        <v>21</v>
      </c>
      <c r="F105" s="84" t="s">
        <v>21</v>
      </c>
      <c r="G105" s="84" t="s">
        <v>21</v>
      </c>
      <c r="H105" s="84" t="s">
        <v>21</v>
      </c>
    </row>
    <row r="106" spans="1:11" ht="15" customHeight="1" x14ac:dyDescent="0.2">
      <c r="A106" s="84"/>
      <c r="B106" s="84" t="s">
        <v>21</v>
      </c>
      <c r="C106" s="85" t="s">
        <v>21</v>
      </c>
      <c r="D106" s="85" t="s">
        <v>21</v>
      </c>
      <c r="E106" s="85" t="s">
        <v>21</v>
      </c>
      <c r="F106" s="86" t="s">
        <v>22</v>
      </c>
      <c r="G106" s="86" t="s">
        <v>21</v>
      </c>
      <c r="H106" s="84" t="s">
        <v>21</v>
      </c>
    </row>
    <row r="107" spans="1:11" ht="15" customHeight="1" x14ac:dyDescent="0.2">
      <c r="A107" s="84"/>
      <c r="B107" s="84" t="s">
        <v>21</v>
      </c>
      <c r="C107" s="85" t="s">
        <v>21</v>
      </c>
      <c r="D107" s="85" t="s">
        <v>21</v>
      </c>
      <c r="E107" s="85" t="s">
        <v>2</v>
      </c>
      <c r="F107" s="87">
        <v>100000</v>
      </c>
      <c r="G107" s="84" t="s">
        <v>21</v>
      </c>
      <c r="H107" s="84" t="s">
        <v>21</v>
      </c>
    </row>
    <row r="108" spans="1:11" ht="15" customHeight="1" x14ac:dyDescent="0.2">
      <c r="A108" s="84"/>
      <c r="B108" s="84" t="s">
        <v>21</v>
      </c>
      <c r="C108" s="85" t="s">
        <v>21</v>
      </c>
      <c r="D108" s="85" t="s">
        <v>21</v>
      </c>
      <c r="E108" s="85" t="s">
        <v>4</v>
      </c>
      <c r="F108" s="88">
        <v>0.185</v>
      </c>
      <c r="G108" s="85" t="s">
        <v>6</v>
      </c>
      <c r="H108" s="88">
        <v>1.542E-2</v>
      </c>
    </row>
    <row r="109" spans="1:11" ht="15" customHeight="1" x14ac:dyDescent="0.2">
      <c r="A109" s="84"/>
      <c r="B109" s="84" t="s">
        <v>21</v>
      </c>
      <c r="C109" s="85" t="s">
        <v>21</v>
      </c>
      <c r="D109" s="85" t="s">
        <v>21</v>
      </c>
      <c r="E109" s="85" t="s">
        <v>8</v>
      </c>
      <c r="F109" s="85">
        <v>2</v>
      </c>
      <c r="G109" s="84" t="s">
        <v>21</v>
      </c>
      <c r="H109" s="84" t="s">
        <v>21</v>
      </c>
    </row>
    <row r="110" spans="1:11" ht="15" customHeight="1" x14ac:dyDescent="0.2">
      <c r="A110" s="84"/>
      <c r="B110" s="84" t="s">
        <v>21</v>
      </c>
      <c r="C110" s="85" t="s">
        <v>21</v>
      </c>
      <c r="D110" s="85" t="s">
        <v>21</v>
      </c>
      <c r="E110" s="85" t="s">
        <v>10</v>
      </c>
      <c r="F110" s="85" t="s">
        <v>23</v>
      </c>
      <c r="G110" s="84" t="s">
        <v>21</v>
      </c>
      <c r="H110" s="84" t="s">
        <v>21</v>
      </c>
    </row>
    <row r="111" spans="1:11" ht="15" customHeight="1" x14ac:dyDescent="0.2">
      <c r="A111" s="84"/>
      <c r="B111" s="84" t="s">
        <v>21</v>
      </c>
      <c r="C111" s="85" t="s">
        <v>21</v>
      </c>
      <c r="D111" s="85" t="s">
        <v>21</v>
      </c>
      <c r="E111" s="85" t="s">
        <v>21</v>
      </c>
      <c r="F111" s="85" t="s">
        <v>21</v>
      </c>
      <c r="G111" s="84" t="s">
        <v>21</v>
      </c>
      <c r="H111" s="84" t="s">
        <v>21</v>
      </c>
    </row>
    <row r="112" spans="1:11" ht="15" customHeight="1" x14ac:dyDescent="0.2">
      <c r="A112" s="84"/>
      <c r="B112" s="84" t="s">
        <v>21</v>
      </c>
      <c r="C112" s="85" t="s">
        <v>21</v>
      </c>
      <c r="D112" s="85" t="s">
        <v>21</v>
      </c>
      <c r="E112" s="85" t="s">
        <v>3</v>
      </c>
      <c r="F112" s="87">
        <v>4166.67</v>
      </c>
      <c r="G112" s="84" t="s">
        <v>21</v>
      </c>
      <c r="H112" s="84" t="s">
        <v>21</v>
      </c>
    </row>
    <row r="113" spans="1:8" ht="15" customHeight="1" x14ac:dyDescent="0.2">
      <c r="A113" s="84"/>
      <c r="B113" s="84" t="s">
        <v>21</v>
      </c>
      <c r="C113" s="85" t="s">
        <v>21</v>
      </c>
      <c r="D113" s="85" t="s">
        <v>21</v>
      </c>
      <c r="E113" s="85" t="s">
        <v>5</v>
      </c>
      <c r="F113" s="85">
        <v>24</v>
      </c>
      <c r="G113" s="84" t="s">
        <v>21</v>
      </c>
      <c r="H113" s="84" t="s">
        <v>21</v>
      </c>
    </row>
    <row r="114" spans="1:8" ht="15" customHeight="1" x14ac:dyDescent="0.2">
      <c r="A114" s="84"/>
      <c r="B114" s="84" t="s">
        <v>21</v>
      </c>
      <c r="C114" s="85" t="s">
        <v>21</v>
      </c>
      <c r="D114" s="85" t="s">
        <v>21</v>
      </c>
      <c r="E114" s="85" t="s">
        <v>7</v>
      </c>
      <c r="F114" s="85" t="s">
        <v>21</v>
      </c>
      <c r="G114" s="84" t="s">
        <v>21</v>
      </c>
      <c r="H114" s="84" t="s">
        <v>21</v>
      </c>
    </row>
    <row r="115" spans="1:8" ht="15" customHeight="1" x14ac:dyDescent="0.2">
      <c r="A115" s="84"/>
      <c r="B115" s="84" t="s">
        <v>21</v>
      </c>
      <c r="C115" s="85" t="s">
        <v>21</v>
      </c>
      <c r="D115" s="85" t="s">
        <v>21</v>
      </c>
      <c r="E115" s="85" t="s">
        <v>9</v>
      </c>
      <c r="F115" s="87">
        <v>100000</v>
      </c>
      <c r="G115" s="84" t="s">
        <v>21</v>
      </c>
      <c r="H115" s="84" t="s">
        <v>21</v>
      </c>
    </row>
    <row r="116" spans="1:8" ht="15" customHeight="1" x14ac:dyDescent="0.2">
      <c r="A116" s="84"/>
      <c r="B116" s="84" t="s">
        <v>21</v>
      </c>
      <c r="C116" s="84" t="s">
        <v>21</v>
      </c>
      <c r="D116" s="84" t="s">
        <v>21</v>
      </c>
      <c r="E116" s="84" t="s">
        <v>21</v>
      </c>
      <c r="F116" s="84" t="s">
        <v>21</v>
      </c>
      <c r="G116" s="84" t="s">
        <v>21</v>
      </c>
      <c r="H116" s="84" t="s">
        <v>21</v>
      </c>
    </row>
    <row r="117" spans="1:8" ht="15" customHeight="1" x14ac:dyDescent="0.2">
      <c r="A117" s="84"/>
      <c r="B117" s="84" t="s">
        <v>21</v>
      </c>
      <c r="C117" s="84" t="s">
        <v>21</v>
      </c>
      <c r="D117" s="84" t="s">
        <v>21</v>
      </c>
      <c r="E117" s="84" t="s">
        <v>21</v>
      </c>
      <c r="F117" s="84" t="s">
        <v>21</v>
      </c>
      <c r="G117" s="84" t="s">
        <v>21</v>
      </c>
      <c r="H117" s="84" t="s">
        <v>21</v>
      </c>
    </row>
    <row r="118" spans="1:8" ht="15" customHeight="1" x14ac:dyDescent="0.2">
      <c r="A118" s="84"/>
      <c r="B118" s="85" t="s">
        <v>12</v>
      </c>
      <c r="C118" s="85" t="s">
        <v>13</v>
      </c>
      <c r="D118" s="85" t="s">
        <v>14</v>
      </c>
      <c r="E118" s="85" t="s">
        <v>3</v>
      </c>
      <c r="F118" s="85" t="s">
        <v>15</v>
      </c>
      <c r="G118" s="85" t="s">
        <v>16</v>
      </c>
      <c r="H118" s="85" t="s">
        <v>17</v>
      </c>
    </row>
    <row r="119" spans="1:8" ht="15" customHeight="1" x14ac:dyDescent="0.2">
      <c r="A119" s="84"/>
      <c r="B119" s="85">
        <v>1</v>
      </c>
      <c r="C119" s="85" t="s">
        <v>24</v>
      </c>
      <c r="D119" s="87">
        <v>100000</v>
      </c>
      <c r="E119" s="85" t="s">
        <v>21</v>
      </c>
      <c r="F119" s="87">
        <v>1541.67</v>
      </c>
      <c r="G119" s="87">
        <v>1541.67</v>
      </c>
      <c r="H119" s="87">
        <v>100000</v>
      </c>
    </row>
    <row r="120" spans="1:8" ht="15" customHeight="1" x14ac:dyDescent="0.2">
      <c r="A120" s="84"/>
      <c r="B120" s="85">
        <v>2</v>
      </c>
      <c r="C120" s="85" t="s">
        <v>25</v>
      </c>
      <c r="D120" s="87">
        <v>100000</v>
      </c>
      <c r="E120" s="85" t="s">
        <v>21</v>
      </c>
      <c r="F120" s="87">
        <v>1541.67</v>
      </c>
      <c r="G120" s="87">
        <v>1541.67</v>
      </c>
      <c r="H120" s="87">
        <v>100000</v>
      </c>
    </row>
    <row r="121" spans="1:8" ht="15" customHeight="1" x14ac:dyDescent="0.2">
      <c r="A121" s="84"/>
      <c r="B121" s="85">
        <v>3</v>
      </c>
      <c r="C121" s="85" t="s">
        <v>26</v>
      </c>
      <c r="D121" s="87">
        <v>100000</v>
      </c>
      <c r="E121" s="85" t="s">
        <v>21</v>
      </c>
      <c r="F121" s="87">
        <v>1541.67</v>
      </c>
      <c r="G121" s="87">
        <v>1541.67</v>
      </c>
      <c r="H121" s="87">
        <v>100000</v>
      </c>
    </row>
    <row r="122" spans="1:8" ht="15" customHeight="1" x14ac:dyDescent="0.2">
      <c r="A122" s="84"/>
      <c r="B122" s="85">
        <v>4</v>
      </c>
      <c r="C122" s="85" t="s">
        <v>27</v>
      </c>
      <c r="D122" s="87">
        <v>100000</v>
      </c>
      <c r="E122" s="85" t="s">
        <v>21</v>
      </c>
      <c r="F122" s="87">
        <v>1541.67</v>
      </c>
      <c r="G122" s="87">
        <v>1541.67</v>
      </c>
      <c r="H122" s="87">
        <v>100000</v>
      </c>
    </row>
    <row r="123" spans="1:8" ht="15" customHeight="1" x14ac:dyDescent="0.2">
      <c r="A123" s="84"/>
      <c r="B123" s="85">
        <v>5</v>
      </c>
      <c r="C123" s="85" t="s">
        <v>28</v>
      </c>
      <c r="D123" s="87">
        <v>100000</v>
      </c>
      <c r="E123" s="85" t="s">
        <v>21</v>
      </c>
      <c r="F123" s="87">
        <v>1541.67</v>
      </c>
      <c r="G123" s="87">
        <v>1541.67</v>
      </c>
      <c r="H123" s="87">
        <v>100000</v>
      </c>
    </row>
    <row r="124" spans="1:8" ht="15" customHeight="1" x14ac:dyDescent="0.2">
      <c r="A124" s="84"/>
      <c r="B124" s="85">
        <v>6</v>
      </c>
      <c r="C124" s="85" t="s">
        <v>29</v>
      </c>
      <c r="D124" s="87">
        <v>100000</v>
      </c>
      <c r="E124" s="85" t="s">
        <v>21</v>
      </c>
      <c r="F124" s="87">
        <v>1541.67</v>
      </c>
      <c r="G124" s="87">
        <v>1541.67</v>
      </c>
      <c r="H124" s="87">
        <v>100000</v>
      </c>
    </row>
    <row r="125" spans="1:8" ht="15" customHeight="1" x14ac:dyDescent="0.2">
      <c r="A125" s="84"/>
      <c r="B125" s="85">
        <v>7</v>
      </c>
      <c r="C125" s="85" t="s">
        <v>30</v>
      </c>
      <c r="D125" s="87">
        <v>100000</v>
      </c>
      <c r="E125" s="85" t="s">
        <v>21</v>
      </c>
      <c r="F125" s="87">
        <v>1541.67</v>
      </c>
      <c r="G125" s="87">
        <v>1541.67</v>
      </c>
      <c r="H125" s="87">
        <v>100000</v>
      </c>
    </row>
    <row r="126" spans="1:8" ht="15" customHeight="1" x14ac:dyDescent="0.2">
      <c r="A126" s="84"/>
      <c r="B126" s="85">
        <v>8</v>
      </c>
      <c r="C126" s="85" t="s">
        <v>31</v>
      </c>
      <c r="D126" s="87">
        <v>100000</v>
      </c>
      <c r="E126" s="85" t="s">
        <v>21</v>
      </c>
      <c r="F126" s="87">
        <v>1541.67</v>
      </c>
      <c r="G126" s="87">
        <v>1541.67</v>
      </c>
      <c r="H126" s="87">
        <v>100000</v>
      </c>
    </row>
    <row r="127" spans="1:8" ht="15" customHeight="1" x14ac:dyDescent="0.2">
      <c r="A127" s="84"/>
      <c r="B127" s="85">
        <v>9</v>
      </c>
      <c r="C127" s="85" t="s">
        <v>32</v>
      </c>
      <c r="D127" s="87">
        <v>100000</v>
      </c>
      <c r="E127" s="85" t="s">
        <v>21</v>
      </c>
      <c r="F127" s="87">
        <v>1541.67</v>
      </c>
      <c r="G127" s="87">
        <v>1541.67</v>
      </c>
      <c r="H127" s="87">
        <v>100000</v>
      </c>
    </row>
    <row r="128" spans="1:8" ht="15" customHeight="1" x14ac:dyDescent="0.2">
      <c r="A128" s="84"/>
      <c r="B128" s="85">
        <v>10</v>
      </c>
      <c r="C128" s="85" t="s">
        <v>33</v>
      </c>
      <c r="D128" s="87">
        <v>100000</v>
      </c>
      <c r="E128" s="85" t="s">
        <v>21</v>
      </c>
      <c r="F128" s="87">
        <v>1541.67</v>
      </c>
      <c r="G128" s="87">
        <v>1541.67</v>
      </c>
      <c r="H128" s="87">
        <v>100000</v>
      </c>
    </row>
    <row r="129" spans="1:8" ht="15" customHeight="1" x14ac:dyDescent="0.2">
      <c r="A129" s="84"/>
      <c r="B129" s="85">
        <v>11</v>
      </c>
      <c r="C129" s="85" t="s">
        <v>34</v>
      </c>
      <c r="D129" s="87">
        <v>100000</v>
      </c>
      <c r="E129" s="85" t="s">
        <v>21</v>
      </c>
      <c r="F129" s="87">
        <v>1541.67</v>
      </c>
      <c r="G129" s="87">
        <v>1541.67</v>
      </c>
      <c r="H129" s="87">
        <v>100000</v>
      </c>
    </row>
    <row r="130" spans="1:8" ht="15" customHeight="1" x14ac:dyDescent="0.2">
      <c r="A130" s="84"/>
      <c r="B130" s="85">
        <v>12</v>
      </c>
      <c r="C130" s="85" t="s">
        <v>35</v>
      </c>
      <c r="D130" s="87">
        <v>100000</v>
      </c>
      <c r="E130" s="87">
        <v>100000</v>
      </c>
      <c r="F130" s="87">
        <v>1541.67</v>
      </c>
      <c r="G130" s="87">
        <v>101541.67</v>
      </c>
      <c r="H130" s="87">
        <v>0</v>
      </c>
    </row>
  </sheetData>
  <mergeCells count="12">
    <mergeCell ref="D8:E8"/>
    <mergeCell ref="D4:E4"/>
    <mergeCell ref="D5:E5"/>
    <mergeCell ref="D6:E6"/>
    <mergeCell ref="D7:E7"/>
    <mergeCell ref="I4:K4"/>
    <mergeCell ref="I5:K5"/>
    <mergeCell ref="I6:K6"/>
    <mergeCell ref="I7:K7"/>
    <mergeCell ref="D1:L1"/>
    <mergeCell ref="I3:L3"/>
    <mergeCell ref="D3:F3"/>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DEE575E-4D86-4A92-874E-FA9F83185273}">
  <sheetPr>
    <tabColor rgb="FF0099FF"/>
  </sheetPr>
  <dimension ref="A1:M87"/>
  <sheetViews>
    <sheetView workbookViewId="0"/>
  </sheetViews>
  <sheetFormatPr baseColWidth="10" defaultColWidth="11.42578125" defaultRowHeight="15" customHeight="1" x14ac:dyDescent="0.2"/>
  <cols>
    <col min="1" max="1" width="11.42578125" style="102" customWidth="1"/>
    <col min="2" max="16384" width="11.42578125" style="102"/>
  </cols>
  <sheetData>
    <row r="1" spans="1:13" ht="36.75" x14ac:dyDescent="0.45">
      <c r="G1" s="154" t="s">
        <v>56</v>
      </c>
      <c r="H1" s="154"/>
      <c r="I1" s="154"/>
      <c r="J1" s="154"/>
    </row>
    <row r="4" spans="1:13" ht="15" customHeight="1" x14ac:dyDescent="0.2">
      <c r="B4" s="103"/>
      <c r="C4" s="103"/>
      <c r="D4" s="103"/>
      <c r="E4" s="103"/>
      <c r="F4" s="103"/>
      <c r="G4" s="103"/>
      <c r="H4" s="103"/>
      <c r="I4" s="103"/>
      <c r="J4" s="103"/>
      <c r="K4" s="103"/>
      <c r="L4" s="103"/>
      <c r="M4" s="103"/>
    </row>
    <row r="5" spans="1:13" ht="15" customHeight="1" x14ac:dyDescent="0.2">
      <c r="A5" s="104"/>
      <c r="B5" s="103"/>
      <c r="C5" s="103"/>
      <c r="D5" s="103"/>
      <c r="E5" s="103"/>
      <c r="F5" s="103"/>
      <c r="G5" s="103"/>
      <c r="H5" s="103"/>
      <c r="I5" s="103"/>
      <c r="J5" s="103"/>
      <c r="K5" s="103"/>
      <c r="L5" s="103"/>
      <c r="M5" s="103"/>
    </row>
    <row r="6" spans="1:13" ht="15" customHeight="1" x14ac:dyDescent="0.2">
      <c r="A6" s="104"/>
      <c r="B6" s="103"/>
      <c r="C6" s="103"/>
      <c r="D6" s="103"/>
      <c r="E6" s="103"/>
      <c r="F6" s="103"/>
      <c r="G6" s="103"/>
      <c r="H6" s="103"/>
      <c r="I6" s="103"/>
      <c r="J6" s="103"/>
      <c r="K6" s="103"/>
      <c r="L6" s="103"/>
      <c r="M6" s="103"/>
    </row>
    <row r="7" spans="1:13" ht="15" customHeight="1" x14ac:dyDescent="0.2">
      <c r="A7" s="104"/>
      <c r="B7" s="103"/>
      <c r="C7" s="103"/>
      <c r="D7" s="103"/>
      <c r="E7" s="103"/>
      <c r="F7" s="103"/>
      <c r="G7" s="103"/>
      <c r="H7" s="103"/>
      <c r="I7" s="103"/>
      <c r="J7" s="103"/>
      <c r="K7" s="103"/>
      <c r="L7" s="103"/>
      <c r="M7" s="103"/>
    </row>
    <row r="8" spans="1:13" ht="15" customHeight="1" x14ac:dyDescent="0.2">
      <c r="A8" s="104"/>
      <c r="B8" s="103"/>
      <c r="C8" s="103"/>
      <c r="D8" s="103"/>
      <c r="E8" s="103"/>
      <c r="F8" s="103"/>
      <c r="G8" s="103"/>
      <c r="H8" s="103"/>
      <c r="I8" s="103"/>
      <c r="J8" s="103"/>
      <c r="K8" s="103"/>
      <c r="L8" s="103"/>
      <c r="M8" s="103"/>
    </row>
    <row r="9" spans="1:13" ht="15" customHeight="1" x14ac:dyDescent="0.2">
      <c r="A9" s="104"/>
      <c r="B9" s="103"/>
      <c r="C9" s="105"/>
      <c r="D9" s="105"/>
      <c r="E9" s="105"/>
      <c r="F9" s="105"/>
      <c r="G9" s="105"/>
      <c r="H9" s="105"/>
      <c r="I9" s="105"/>
      <c r="J9" s="105"/>
      <c r="K9" s="105"/>
      <c r="L9" s="105"/>
      <c r="M9" s="105"/>
    </row>
    <row r="10" spans="1:13" ht="15" customHeight="1" x14ac:dyDescent="0.2">
      <c r="A10" s="104"/>
      <c r="B10" s="103"/>
      <c r="C10" s="106"/>
      <c r="D10" s="106"/>
      <c r="E10" s="106"/>
      <c r="F10" s="106"/>
      <c r="G10" s="106"/>
      <c r="H10" s="106"/>
      <c r="I10" s="106"/>
      <c r="J10" s="106"/>
      <c r="K10" s="106"/>
      <c r="L10" s="106"/>
      <c r="M10" s="106"/>
    </row>
    <row r="11" spans="1:13" ht="15" customHeight="1" x14ac:dyDescent="0.2">
      <c r="A11" s="104"/>
      <c r="B11" s="103"/>
      <c r="C11" s="106"/>
      <c r="D11" s="106"/>
      <c r="E11" s="106"/>
      <c r="F11" s="106"/>
      <c r="G11" s="106"/>
      <c r="H11" s="106"/>
      <c r="I11" s="106"/>
      <c r="J11" s="106"/>
      <c r="K11" s="106"/>
      <c r="L11" s="106"/>
      <c r="M11" s="106"/>
    </row>
    <row r="12" spans="1:13" ht="15" customHeight="1" x14ac:dyDescent="0.2">
      <c r="A12" s="104"/>
      <c r="B12" s="103"/>
      <c r="C12" s="106"/>
      <c r="D12" s="106"/>
      <c r="E12" s="106"/>
      <c r="F12" s="106"/>
      <c r="G12" s="106"/>
      <c r="H12" s="106"/>
      <c r="I12" s="106"/>
      <c r="J12" s="106"/>
      <c r="K12" s="106"/>
      <c r="L12" s="106"/>
      <c r="M12" s="106"/>
    </row>
    <row r="13" spans="1:13" ht="15" customHeight="1" x14ac:dyDescent="0.2">
      <c r="A13" s="104"/>
      <c r="B13" s="103"/>
      <c r="C13" s="106"/>
      <c r="D13" s="106"/>
      <c r="E13" s="106"/>
      <c r="F13" s="106"/>
      <c r="G13" s="106"/>
      <c r="H13" s="106"/>
      <c r="I13" s="106"/>
      <c r="J13" s="106"/>
      <c r="K13" s="106"/>
      <c r="L13" s="106"/>
      <c r="M13" s="106"/>
    </row>
    <row r="14" spans="1:13" ht="15" customHeight="1" x14ac:dyDescent="0.2">
      <c r="A14" s="104"/>
      <c r="B14" s="103"/>
      <c r="C14" s="106"/>
      <c r="D14" s="106"/>
      <c r="E14" s="106"/>
      <c r="F14" s="106"/>
      <c r="G14" s="106"/>
      <c r="H14" s="106"/>
      <c r="I14" s="106"/>
      <c r="J14" s="106"/>
      <c r="K14" s="106"/>
      <c r="L14" s="106"/>
      <c r="M14" s="106"/>
    </row>
    <row r="15" spans="1:13" ht="15" customHeight="1" x14ac:dyDescent="0.2">
      <c r="A15" s="104"/>
      <c r="B15" s="103"/>
      <c r="C15" s="103"/>
      <c r="D15" s="103"/>
      <c r="E15" s="103"/>
      <c r="F15" s="103"/>
      <c r="G15" s="103"/>
      <c r="H15" s="103"/>
      <c r="I15" s="103"/>
      <c r="J15" s="103"/>
      <c r="K15" s="103"/>
      <c r="L15" s="103"/>
      <c r="M15" s="103"/>
    </row>
    <row r="16" spans="1:13" ht="15" customHeight="1" x14ac:dyDescent="0.2">
      <c r="A16" s="104"/>
      <c r="B16" s="103"/>
      <c r="C16" s="103"/>
      <c r="D16" s="103"/>
      <c r="E16" s="103"/>
      <c r="F16" s="103"/>
      <c r="G16" s="103"/>
      <c r="H16" s="103"/>
      <c r="I16" s="103"/>
      <c r="J16" s="103"/>
      <c r="K16" s="103"/>
      <c r="L16" s="103"/>
      <c r="M16" s="103"/>
    </row>
    <row r="17" spans="1:13" ht="15" customHeight="1" x14ac:dyDescent="0.2">
      <c r="A17" s="104"/>
      <c r="B17" s="103"/>
      <c r="C17" s="103"/>
      <c r="D17" s="103"/>
      <c r="E17" s="103"/>
      <c r="F17" s="103"/>
      <c r="G17" s="103"/>
      <c r="H17" s="103"/>
      <c r="I17" s="103"/>
      <c r="J17" s="103"/>
      <c r="K17" s="103"/>
      <c r="L17" s="103"/>
      <c r="M17" s="103"/>
    </row>
    <row r="18" spans="1:13" ht="15" customHeight="1" x14ac:dyDescent="0.2">
      <c r="A18" s="104"/>
      <c r="B18" s="103"/>
      <c r="C18" s="103"/>
      <c r="D18" s="103"/>
      <c r="E18" s="103"/>
      <c r="F18" s="103"/>
      <c r="G18" s="103"/>
      <c r="H18" s="103"/>
      <c r="I18" s="103"/>
      <c r="J18" s="103"/>
      <c r="K18" s="103"/>
      <c r="L18" s="103"/>
      <c r="M18" s="103"/>
    </row>
    <row r="19" spans="1:13" ht="15" customHeight="1" x14ac:dyDescent="0.2">
      <c r="A19" s="104"/>
      <c r="B19" s="103"/>
      <c r="C19" s="103"/>
      <c r="D19" s="103"/>
      <c r="E19" s="103"/>
      <c r="F19" s="103"/>
      <c r="G19" s="103"/>
      <c r="H19" s="103"/>
      <c r="I19" s="103"/>
      <c r="J19" s="103"/>
      <c r="K19" s="103"/>
      <c r="L19" s="103"/>
      <c r="M19" s="103"/>
    </row>
    <row r="20" spans="1:13" ht="15.75" customHeight="1" x14ac:dyDescent="0.2">
      <c r="A20" s="104"/>
      <c r="B20" s="103"/>
      <c r="C20" s="103"/>
      <c r="D20" s="103"/>
      <c r="E20" s="103"/>
      <c r="F20" s="103"/>
      <c r="G20" s="103"/>
      <c r="H20" s="103"/>
      <c r="I20" s="103"/>
      <c r="J20" s="103"/>
      <c r="K20" s="103"/>
      <c r="L20" s="103"/>
      <c r="M20" s="103"/>
    </row>
    <row r="21" spans="1:13" ht="15" customHeight="1" x14ac:dyDescent="0.2">
      <c r="A21" s="104"/>
      <c r="B21" s="103"/>
      <c r="C21" s="103"/>
      <c r="D21" s="103"/>
      <c r="E21" s="103"/>
      <c r="F21" s="103"/>
      <c r="G21" s="103"/>
      <c r="H21" s="103"/>
      <c r="I21" s="103"/>
      <c r="J21" s="103"/>
      <c r="K21" s="103"/>
      <c r="L21" s="103"/>
      <c r="M21" s="103"/>
    </row>
    <row r="22" spans="1:13" ht="15" customHeight="1" x14ac:dyDescent="0.2">
      <c r="A22" s="104"/>
      <c r="B22" s="103"/>
      <c r="C22" s="103"/>
      <c r="D22" s="103"/>
      <c r="E22" s="103"/>
      <c r="F22" s="103"/>
      <c r="G22" s="103"/>
      <c r="H22" s="103"/>
      <c r="I22" s="103"/>
      <c r="J22" s="103"/>
      <c r="K22" s="103"/>
      <c r="L22" s="103"/>
      <c r="M22" s="103"/>
    </row>
    <row r="23" spans="1:13" ht="15" customHeight="1" x14ac:dyDescent="0.2">
      <c r="A23" s="104"/>
      <c r="B23" s="103"/>
      <c r="C23" s="103"/>
      <c r="D23" s="103"/>
      <c r="E23" s="103"/>
      <c r="F23" s="103"/>
      <c r="G23" s="103"/>
      <c r="H23" s="103"/>
      <c r="I23" s="103"/>
      <c r="J23" s="103"/>
      <c r="K23" s="103"/>
      <c r="L23" s="103"/>
      <c r="M23" s="103"/>
    </row>
    <row r="24" spans="1:13" ht="15" customHeight="1" x14ac:dyDescent="0.2">
      <c r="A24" s="104"/>
      <c r="B24" s="103"/>
      <c r="C24" s="103"/>
      <c r="D24" s="103"/>
      <c r="E24" s="103"/>
      <c r="F24" s="103"/>
      <c r="G24" s="103"/>
      <c r="H24" s="103"/>
      <c r="I24" s="103"/>
      <c r="J24" s="103"/>
      <c r="K24" s="103"/>
      <c r="L24" s="103"/>
      <c r="M24" s="103"/>
    </row>
    <row r="25" spans="1:13" ht="15" customHeight="1" x14ac:dyDescent="0.2">
      <c r="A25" s="104"/>
      <c r="B25" s="103"/>
      <c r="C25" s="103"/>
      <c r="D25" s="103"/>
      <c r="E25" s="103"/>
      <c r="F25" s="103"/>
      <c r="G25" s="103"/>
      <c r="H25" s="103"/>
      <c r="I25" s="103"/>
      <c r="J25" s="103"/>
      <c r="K25" s="103"/>
      <c r="L25" s="103"/>
      <c r="M25" s="103"/>
    </row>
    <row r="26" spans="1:13" ht="15" customHeight="1" x14ac:dyDescent="0.2">
      <c r="B26" s="103"/>
      <c r="C26" s="103"/>
      <c r="D26" s="103"/>
      <c r="E26" s="103"/>
      <c r="F26" s="103"/>
      <c r="G26" s="103"/>
      <c r="H26" s="103"/>
      <c r="I26" s="103"/>
      <c r="J26" s="103"/>
      <c r="K26" s="103"/>
      <c r="L26" s="103"/>
      <c r="M26" s="103"/>
    </row>
    <row r="33" s="102" customFormat="1" ht="15" customHeight="1" x14ac:dyDescent="0.2"/>
    <row r="34" s="102" customFormat="1" ht="15" customHeight="1" x14ac:dyDescent="0.2"/>
    <row r="35" s="102" customFormat="1" ht="15" customHeight="1" x14ac:dyDescent="0.2"/>
    <row r="36" s="102" customFormat="1" ht="15" customHeight="1" x14ac:dyDescent="0.2"/>
    <row r="37" s="102" customFormat="1" ht="15" customHeight="1" x14ac:dyDescent="0.2"/>
    <row r="38" s="102" customFormat="1" ht="15" customHeight="1" x14ac:dyDescent="0.2"/>
    <row r="39" s="102" customFormat="1" ht="15" customHeight="1" x14ac:dyDescent="0.2"/>
    <row r="40" s="102" customFormat="1" ht="15" customHeight="1" x14ac:dyDescent="0.2"/>
    <row r="41" s="102" customFormat="1" ht="15" customHeight="1" x14ac:dyDescent="0.2"/>
    <row r="42" s="102" customFormat="1" ht="15" customHeight="1" x14ac:dyDescent="0.2"/>
    <row r="43" s="102" customFormat="1" ht="15" customHeight="1" x14ac:dyDescent="0.2"/>
    <row r="44" s="102" customFormat="1" ht="15" customHeight="1" x14ac:dyDescent="0.2"/>
    <row r="45" s="102" customFormat="1" ht="15" customHeight="1" x14ac:dyDescent="0.2"/>
    <row r="46" s="102" customFormat="1" ht="15" customHeight="1" x14ac:dyDescent="0.2"/>
    <row r="47" s="102" customFormat="1" ht="15" customHeight="1" x14ac:dyDescent="0.2"/>
    <row r="48" s="102" customFormat="1" ht="15" customHeight="1" x14ac:dyDescent="0.2"/>
    <row r="63" spans="4:10" ht="15" customHeight="1" x14ac:dyDescent="0.2">
      <c r="D63" s="107"/>
      <c r="E63" s="108"/>
      <c r="F63" s="108"/>
      <c r="G63" s="108"/>
      <c r="H63" s="109"/>
      <c r="I63" s="109"/>
      <c r="J63" s="107"/>
    </row>
    <row r="64" spans="4:10" ht="15" customHeight="1" x14ac:dyDescent="0.2">
      <c r="D64" s="107"/>
      <c r="E64" s="108"/>
      <c r="F64" s="108"/>
      <c r="G64" s="108"/>
      <c r="H64" s="110"/>
      <c r="I64" s="107"/>
      <c r="J64" s="107"/>
    </row>
    <row r="65" spans="4:10" ht="15" customHeight="1" x14ac:dyDescent="0.2">
      <c r="D65" s="107"/>
      <c r="E65" s="108"/>
      <c r="F65" s="108"/>
      <c r="G65" s="108"/>
      <c r="H65" s="111"/>
      <c r="I65" s="108"/>
      <c r="J65" s="112"/>
    </row>
    <row r="66" spans="4:10" ht="15" customHeight="1" x14ac:dyDescent="0.2">
      <c r="D66" s="107"/>
      <c r="E66" s="108"/>
      <c r="F66" s="108"/>
      <c r="G66" s="108"/>
      <c r="H66" s="113"/>
      <c r="I66" s="107"/>
      <c r="J66" s="107"/>
    </row>
    <row r="67" spans="4:10" ht="15" customHeight="1" x14ac:dyDescent="0.2">
      <c r="D67" s="107"/>
      <c r="E67" s="108"/>
      <c r="F67" s="108"/>
      <c r="G67" s="108"/>
      <c r="H67" s="113"/>
      <c r="I67" s="107"/>
      <c r="J67" s="107"/>
    </row>
    <row r="68" spans="4:10" ht="15" customHeight="1" x14ac:dyDescent="0.2">
      <c r="D68" s="107"/>
      <c r="E68" s="108"/>
      <c r="F68" s="108"/>
      <c r="G68" s="108"/>
      <c r="H68" s="113"/>
      <c r="I68" s="107"/>
      <c r="J68" s="107"/>
    </row>
    <row r="69" spans="4:10" ht="15" customHeight="1" x14ac:dyDescent="0.2">
      <c r="D69" s="107"/>
      <c r="E69" s="108"/>
      <c r="F69" s="108"/>
      <c r="G69" s="108"/>
      <c r="H69" s="114"/>
      <c r="I69" s="107"/>
      <c r="J69" s="107"/>
    </row>
    <row r="70" spans="4:10" ht="15" customHeight="1" x14ac:dyDescent="0.2">
      <c r="D70" s="107"/>
      <c r="E70" s="108"/>
      <c r="F70" s="108"/>
      <c r="G70" s="108"/>
      <c r="H70" s="113"/>
      <c r="I70" s="107"/>
      <c r="J70" s="107"/>
    </row>
    <row r="71" spans="4:10" ht="15" customHeight="1" x14ac:dyDescent="0.2">
      <c r="D71" s="107"/>
      <c r="E71" s="108"/>
      <c r="F71" s="108"/>
      <c r="G71" s="108"/>
      <c r="H71" s="113"/>
      <c r="I71" s="107"/>
      <c r="J71" s="107"/>
    </row>
    <row r="72" spans="4:10" ht="15" customHeight="1" x14ac:dyDescent="0.2">
      <c r="D72" s="107"/>
      <c r="E72" s="108"/>
      <c r="F72" s="108"/>
      <c r="G72" s="108"/>
      <c r="H72" s="114"/>
      <c r="I72" s="107"/>
      <c r="J72" s="107"/>
    </row>
    <row r="73" spans="4:10" ht="15" customHeight="1" x14ac:dyDescent="0.2">
      <c r="D73" s="107"/>
      <c r="E73" s="107"/>
      <c r="F73" s="107"/>
      <c r="G73" s="107"/>
      <c r="H73" s="107"/>
      <c r="I73" s="107"/>
      <c r="J73" s="107"/>
    </row>
    <row r="74" spans="4:10" ht="15" customHeight="1" x14ac:dyDescent="0.2">
      <c r="D74" s="107"/>
      <c r="E74" s="107"/>
      <c r="F74" s="107"/>
      <c r="G74" s="107"/>
      <c r="H74" s="107"/>
      <c r="I74" s="107"/>
      <c r="J74" s="107"/>
    </row>
    <row r="75" spans="4:10" ht="15" customHeight="1" x14ac:dyDescent="0.2">
      <c r="D75" s="115"/>
      <c r="E75" s="116"/>
      <c r="F75" s="116"/>
      <c r="G75" s="116"/>
      <c r="H75" s="116"/>
      <c r="I75" s="116"/>
      <c r="J75" s="116"/>
    </row>
    <row r="76" spans="4:10" ht="15" customHeight="1" x14ac:dyDescent="0.2">
      <c r="D76" s="113"/>
      <c r="E76" s="117"/>
      <c r="F76" s="118"/>
      <c r="G76" s="117"/>
      <c r="H76" s="118"/>
      <c r="I76" s="118"/>
      <c r="J76" s="118"/>
    </row>
    <row r="77" spans="4:10" ht="15" customHeight="1" x14ac:dyDescent="0.2">
      <c r="D77" s="113"/>
      <c r="E77" s="117"/>
      <c r="F77" s="118"/>
      <c r="G77" s="117"/>
      <c r="H77" s="118"/>
      <c r="I77" s="118"/>
      <c r="J77" s="118"/>
    </row>
    <row r="78" spans="4:10" ht="15" customHeight="1" x14ac:dyDescent="0.2">
      <c r="D78" s="113"/>
      <c r="E78" s="117"/>
      <c r="F78" s="118"/>
      <c r="G78" s="117"/>
      <c r="H78" s="118"/>
      <c r="I78" s="118"/>
      <c r="J78" s="118"/>
    </row>
    <row r="79" spans="4:10" ht="15" customHeight="1" x14ac:dyDescent="0.2">
      <c r="D79" s="113"/>
      <c r="E79" s="117"/>
      <c r="F79" s="118"/>
      <c r="G79" s="117"/>
      <c r="H79" s="118"/>
      <c r="I79" s="118"/>
      <c r="J79" s="118"/>
    </row>
    <row r="80" spans="4:10" ht="15" customHeight="1" x14ac:dyDescent="0.2">
      <c r="D80" s="113"/>
      <c r="E80" s="117"/>
      <c r="F80" s="118"/>
      <c r="G80" s="117"/>
      <c r="H80" s="118"/>
      <c r="I80" s="118"/>
      <c r="J80" s="118"/>
    </row>
    <row r="81" spans="4:10" ht="15" customHeight="1" x14ac:dyDescent="0.2">
      <c r="D81" s="113"/>
      <c r="E81" s="117"/>
      <c r="F81" s="118"/>
      <c r="G81" s="117"/>
      <c r="H81" s="118"/>
      <c r="I81" s="118"/>
      <c r="J81" s="118"/>
    </row>
    <row r="82" spans="4:10" ht="15" customHeight="1" x14ac:dyDescent="0.2">
      <c r="D82" s="113"/>
      <c r="E82" s="117"/>
      <c r="F82" s="118"/>
      <c r="G82" s="117"/>
      <c r="H82" s="118"/>
      <c r="I82" s="118"/>
      <c r="J82" s="118"/>
    </row>
    <row r="83" spans="4:10" ht="15" customHeight="1" x14ac:dyDescent="0.2">
      <c r="D83" s="113"/>
      <c r="E83" s="117"/>
      <c r="F83" s="118"/>
      <c r="G83" s="117"/>
      <c r="H83" s="118"/>
      <c r="I83" s="118"/>
      <c r="J83" s="118"/>
    </row>
    <row r="84" spans="4:10" ht="15" customHeight="1" x14ac:dyDescent="0.2">
      <c r="D84" s="113"/>
      <c r="E84" s="117"/>
      <c r="F84" s="118"/>
      <c r="G84" s="117"/>
      <c r="H84" s="118"/>
      <c r="I84" s="118"/>
      <c r="J84" s="118"/>
    </row>
    <row r="85" spans="4:10" ht="15" customHeight="1" x14ac:dyDescent="0.2">
      <c r="D85" s="113"/>
      <c r="E85" s="117"/>
      <c r="F85" s="118"/>
      <c r="G85" s="117"/>
      <c r="H85" s="118"/>
      <c r="I85" s="118"/>
      <c r="J85" s="118"/>
    </row>
    <row r="86" spans="4:10" ht="15" customHeight="1" x14ac:dyDescent="0.2">
      <c r="D86" s="113"/>
      <c r="E86" s="117"/>
      <c r="F86" s="118"/>
      <c r="G86" s="117"/>
      <c r="H86" s="118"/>
      <c r="I86" s="118"/>
      <c r="J86" s="118"/>
    </row>
    <row r="87" spans="4:10" ht="15" customHeight="1" x14ac:dyDescent="0.2">
      <c r="D87" s="113"/>
      <c r="E87" s="117"/>
      <c r="F87" s="118"/>
      <c r="G87" s="118"/>
      <c r="H87" s="118"/>
      <c r="I87" s="118"/>
      <c r="J87" s="118"/>
    </row>
  </sheetData>
  <mergeCells count="1">
    <mergeCell ref="G1:J1"/>
  </mergeCells>
  <pageMargins left="0.7" right="0.7" top="0.75" bottom="0.75" header="0.3" footer="0.3"/>
  <drawing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507C8B0833E71543A3BA18705CBBD6E9" ma:contentTypeVersion="4" ma:contentTypeDescription="Create a new document." ma:contentTypeScope="" ma:versionID="3befefdae2bbf9b6b5611b9c7ccb7f59">
  <xsd:schema xmlns:xsd="http://www.w3.org/2001/XMLSchema" xmlns:xs="http://www.w3.org/2001/XMLSchema" xmlns:p="http://schemas.microsoft.com/office/2006/metadata/properties" xmlns:ns3="df980b70-c925-43a1-a2ff-fb2d0eed6231" targetNamespace="http://schemas.microsoft.com/office/2006/metadata/properties" ma:root="true" ma:fieldsID="42e80e2854f4b6a0f2c83b7b1ddba2ed" ns3:_="">
    <xsd:import namespace="df980b70-c925-43a1-a2ff-fb2d0eed6231"/>
    <xsd:element name="properties">
      <xsd:complexType>
        <xsd:sequence>
          <xsd:element name="documentManagement">
            <xsd:complexType>
              <xsd:all>
                <xsd:element ref="ns3:MediaServiceMetadata" minOccurs="0"/>
                <xsd:element ref="ns3:MediaServiceFastMetadata" minOccurs="0"/>
                <xsd:element ref="ns3:MediaServiceAutoKeyPoints" minOccurs="0"/>
                <xsd:element ref="ns3:MediaServiceKeyPoint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df980b70-c925-43a1-a2ff-fb2d0eed6231"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KeyPoints" ma:index="10" nillable="true" ma:displayName="MediaServiceAutoKeyPoints" ma:hidden="true" ma:internalName="MediaServiceAutoKeyPoints" ma:readOnly="true">
      <xsd:simpleType>
        <xsd:restriction base="dms:Note"/>
      </xsd:simpleType>
    </xsd:element>
    <xsd:element name="MediaServiceKeyPoints" ma:index="11" nillable="true" ma:displayName="KeyPoints" ma:internalName="MediaServiceKeyPoint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D7821080-8675-4293-8B91-7BFF49EE79F6}">
  <ds:schemaRefs>
    <ds:schemaRef ds:uri="http://schemas.microsoft.com/sharepoint/v3/contenttype/forms"/>
  </ds:schemaRefs>
</ds:datastoreItem>
</file>

<file path=customXml/itemProps2.xml><?xml version="1.0" encoding="utf-8"?>
<ds:datastoreItem xmlns:ds="http://schemas.openxmlformats.org/officeDocument/2006/customXml" ds:itemID="{39E768F9-67B5-4D29-8FBC-D8800BA6021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df980b70-c925-43a1-a2ff-fb2d0eed62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0B91980F-F903-4487-A872-EFC9C9EBFD22}">
  <ds:schemaRefs>
    <ds:schemaRef ds:uri="http://schemas.microsoft.com/office/2006/metadata/properties"/>
    <ds:schemaRef ds:uri="http://purl.org/dc/elements/1.1/"/>
    <ds:schemaRef ds:uri="http://www.w3.org/XML/1998/namespace"/>
    <ds:schemaRef ds:uri="http://purl.org/dc/dcmitype/"/>
    <ds:schemaRef ds:uri="df980b70-c925-43a1-a2ff-fb2d0eed6231"/>
    <ds:schemaRef ds:uri="http://schemas.microsoft.com/office/2006/documentManagement/types"/>
    <ds:schemaRef ds:uri="http://purl.org/dc/terms/"/>
    <ds:schemaRef ds:uri="http://schemas.microsoft.com/office/infopath/2007/PartnerControls"/>
    <ds:schemaRef ds:uri="http://schemas.openxmlformats.org/package/2006/metadata/core-propertie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Hojas de cálculo</vt:lpstr>
      </vt:variant>
      <vt:variant>
        <vt:i4>8</vt:i4>
      </vt:variant>
      <vt:variant>
        <vt:lpstr>Rangos con nombre</vt:lpstr>
      </vt:variant>
      <vt:variant>
        <vt:i4>4</vt:i4>
      </vt:variant>
    </vt:vector>
  </HeadingPairs>
  <TitlesOfParts>
    <vt:vector size="12" baseType="lpstr">
      <vt:lpstr>Portada</vt:lpstr>
      <vt:lpstr>Antecedentes</vt:lpstr>
      <vt:lpstr>Simulador</vt:lpstr>
      <vt:lpstr>Pagos Decrecientes</vt:lpstr>
      <vt:lpstr>Pagos Iguales</vt:lpstr>
      <vt:lpstr>Pagos Crecientes</vt:lpstr>
      <vt:lpstr>Bullet</vt:lpstr>
      <vt:lpstr>Referencias</vt:lpstr>
      <vt:lpstr>Fecha</vt:lpstr>
      <vt:lpstr>Importe</vt:lpstr>
      <vt:lpstr>Periodo</vt:lpstr>
      <vt:lpstr>Tasa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nnaom</dc:creator>
  <cp:keywords/>
  <dc:description/>
  <cp:lastModifiedBy>miria</cp:lastModifiedBy>
  <cp:revision/>
  <dcterms:created xsi:type="dcterms:W3CDTF">2021-05-24T19:46:38Z</dcterms:created>
  <dcterms:modified xsi:type="dcterms:W3CDTF">2021-05-27T18:50:36Z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0x010100507C8B0833E71543A3BA18705CBBD6E9</vt:lpwstr>
  </property>
</Properties>
</file>