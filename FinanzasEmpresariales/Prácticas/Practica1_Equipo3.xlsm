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39fc67798459929/Documentos/Joel/3ro/FE/"/>
    </mc:Choice>
  </mc:AlternateContent>
  <xr:revisionPtr revIDLastSave="0" documentId="13_ncr:1_{C49208B1-6A2F-4ECE-8348-9798107CD6A7}" xr6:coauthVersionLast="46" xr6:coauthVersionMax="46" xr10:uidLastSave="{00000000-0000-0000-0000-000000000000}"/>
  <bookViews>
    <workbookView xWindow="-120" yWindow="-120" windowWidth="20730" windowHeight="11160" tabRatio="847" firstSheet="1" activeTab="13" xr2:uid="{F201D707-D087-4CB0-8EC8-6C2A5C9CE0BA}"/>
  </bookViews>
  <sheets>
    <sheet name="Inicio" sheetId="1" r:id="rId1"/>
    <sheet name="Simulador" sheetId="2" r:id="rId2"/>
    <sheet name="América Móvil" sheetId="3" r:id="rId3"/>
    <sheet name="Datos1" sheetId="8" r:id="rId4"/>
    <sheet name="IZZI" sheetId="4" r:id="rId5"/>
    <sheet name="Datos2" sheetId="9" r:id="rId6"/>
    <sheet name="QUMMA" sheetId="5" r:id="rId7"/>
    <sheet name="Datos3" sheetId="10" r:id="rId8"/>
    <sheet name="TV Azteca" sheetId="6" r:id="rId9"/>
    <sheet name="Datos4" sheetId="11" r:id="rId10"/>
    <sheet name="Axtel" sheetId="7" r:id="rId11"/>
    <sheet name="Datos5" sheetId="12" r:id="rId12"/>
    <sheet name="Hoja1" sheetId="21" r:id="rId13"/>
    <sheet name="Resultados" sheetId="14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4" l="1"/>
  <c r="E14" i="14"/>
  <c r="D14" i="14"/>
  <c r="B14" i="14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D13" i="14"/>
  <c r="D12" i="14"/>
  <c r="D11" i="14"/>
  <c r="D10" i="14"/>
  <c r="D9" i="14"/>
  <c r="D8" i="14"/>
  <c r="D7" i="14"/>
  <c r="D6" i="14"/>
  <c r="D5" i="14"/>
  <c r="D4" i="14"/>
  <c r="C13" i="14"/>
  <c r="C12" i="14"/>
  <c r="D12" i="21"/>
  <c r="D11" i="21"/>
  <c r="C11" i="14"/>
  <c r="C10" i="14"/>
  <c r="C8" i="14"/>
  <c r="C7" i="14"/>
  <c r="C6" i="14"/>
  <c r="C5" i="14"/>
  <c r="C4" i="14"/>
  <c r="B13" i="14"/>
  <c r="B12" i="14"/>
  <c r="B11" i="14"/>
  <c r="B10" i="14"/>
  <c r="B9" i="14"/>
  <c r="B8" i="14"/>
  <c r="B7" i="14"/>
  <c r="B6" i="14"/>
  <c r="B5" i="14"/>
  <c r="B4" i="14"/>
  <c r="H3" i="21" l="1"/>
  <c r="H12" i="21"/>
  <c r="H11" i="21"/>
  <c r="H10" i="21"/>
  <c r="H9" i="21"/>
  <c r="H7" i="21"/>
  <c r="H6" i="21"/>
  <c r="H5" i="21"/>
  <c r="H4" i="21"/>
  <c r="G12" i="21"/>
  <c r="G11" i="21"/>
  <c r="G10" i="21"/>
  <c r="G9" i="21"/>
  <c r="G8" i="21"/>
  <c r="G7" i="21"/>
  <c r="G6" i="21"/>
  <c r="G5" i="21"/>
  <c r="G4" i="21"/>
  <c r="G3" i="21"/>
  <c r="F12" i="21"/>
  <c r="F11" i="21"/>
  <c r="F10" i="21"/>
  <c r="F9" i="21"/>
  <c r="F8" i="21"/>
  <c r="F7" i="21"/>
  <c r="F6" i="21"/>
  <c r="F5" i="21"/>
  <c r="F4" i="21"/>
  <c r="F3" i="21"/>
  <c r="E12" i="21"/>
  <c r="E11" i="21"/>
  <c r="E10" i="21"/>
  <c r="E9" i="21"/>
  <c r="E8" i="21"/>
  <c r="E7" i="21"/>
  <c r="E6" i="21"/>
  <c r="E5" i="21"/>
  <c r="E4" i="21"/>
  <c r="E3" i="21"/>
  <c r="E24" i="8"/>
  <c r="D10" i="21" s="1"/>
  <c r="D9" i="21"/>
  <c r="D7" i="21"/>
  <c r="D6" i="21"/>
  <c r="D5" i="21"/>
  <c r="D4" i="21"/>
  <c r="D3" i="21"/>
  <c r="C12" i="21"/>
  <c r="C11" i="21"/>
  <c r="C10" i="21"/>
  <c r="C9" i="21"/>
  <c r="C8" i="21"/>
  <c r="C7" i="21"/>
  <c r="C6" i="21"/>
  <c r="C5" i="21"/>
  <c r="C4" i="21"/>
  <c r="C3" i="21"/>
  <c r="E34" i="12"/>
  <c r="E33" i="12"/>
  <c r="E32" i="12"/>
  <c r="E31" i="12"/>
  <c r="E30" i="12"/>
  <c r="E29" i="12"/>
  <c r="E28" i="12"/>
  <c r="E27" i="12"/>
  <c r="E26" i="12"/>
  <c r="E25" i="12"/>
  <c r="E29" i="11"/>
  <c r="E28" i="11" l="1"/>
  <c r="E27" i="11"/>
  <c r="E26" i="11" l="1"/>
  <c r="E25" i="11"/>
  <c r="E24" i="11"/>
  <c r="E23" i="11"/>
  <c r="E22" i="11"/>
  <c r="E21" i="11"/>
  <c r="E20" i="11"/>
  <c r="E26" i="10"/>
  <c r="E25" i="10"/>
  <c r="E24" i="10"/>
  <c r="E23" i="10"/>
  <c r="E22" i="10"/>
  <c r="E21" i="10"/>
  <c r="E20" i="10"/>
  <c r="E18" i="10"/>
  <c r="E17" i="10"/>
  <c r="E26" i="9"/>
  <c r="E25" i="9"/>
  <c r="E23" i="9"/>
  <c r="E22" i="9"/>
  <c r="E21" i="9"/>
  <c r="E20" i="9"/>
  <c r="E19" i="9"/>
  <c r="E18" i="9"/>
  <c r="E17" i="9"/>
  <c r="E19" i="8"/>
  <c r="E26" i="8"/>
  <c r="E25" i="8"/>
  <c r="E23" i="8"/>
  <c r="E22" i="8"/>
  <c r="E21" i="8"/>
  <c r="E20" i="8"/>
  <c r="E18" i="8"/>
  <c r="E17" i="8"/>
  <c r="E24" i="9"/>
  <c r="C9" i="14" l="1"/>
  <c r="C14" i="14" s="1"/>
  <c r="D8" i="21"/>
  <c r="H8" i="21" s="1"/>
</calcChain>
</file>

<file path=xl/sharedStrings.xml><?xml version="1.0" encoding="utf-8"?>
<sst xmlns="http://schemas.openxmlformats.org/spreadsheetml/2006/main" count="373" uniqueCount="135">
  <si>
    <t>Instituto Politécnico Nacional</t>
  </si>
  <si>
    <t>Escuela Superior de Cómputo</t>
  </si>
  <si>
    <t>Finanzas Empresariales</t>
  </si>
  <si>
    <t>"Análisis Financiero: Ranking de Empresas"</t>
  </si>
  <si>
    <t>3CV2</t>
  </si>
  <si>
    <t>Equipo 3:</t>
  </si>
  <si>
    <t>Colín Ramiro Joel</t>
  </si>
  <si>
    <t>Cortés Olvera Eduardo Maximiliano</t>
  </si>
  <si>
    <t>Márquez Granados Miriam Daniela</t>
  </si>
  <si>
    <t>Rodríguez Flores Eduardo</t>
  </si>
  <si>
    <t>Ramírez Jiménez Itzel Guadalupe</t>
  </si>
  <si>
    <r>
      <rPr>
        <u/>
        <sz val="11"/>
        <color theme="1"/>
        <rFont val="Bahnschrift Light"/>
        <family val="2"/>
      </rPr>
      <t>Ubicación</t>
    </r>
    <r>
      <rPr>
        <sz val="11"/>
        <color theme="1"/>
        <rFont val="Bahnschrift Light"/>
        <family val="2"/>
      </rPr>
      <t>: Ciudad de México</t>
    </r>
  </si>
  <si>
    <r>
      <rPr>
        <u/>
        <sz val="11"/>
        <color theme="1"/>
        <rFont val="Bahnschrift Light"/>
        <family val="2"/>
      </rPr>
      <t>Dueño/s</t>
    </r>
    <r>
      <rPr>
        <sz val="11"/>
        <color theme="1"/>
        <rFont val="Bahnschrift Light"/>
        <family val="2"/>
      </rPr>
      <t>: Carlos Slim</t>
    </r>
  </si>
  <si>
    <t>ANTECEDENTES</t>
  </si>
  <si>
    <t>EMPRESAS DE TELECOMUNICACIONES</t>
  </si>
  <si>
    <r>
      <rPr>
        <u/>
        <sz val="11"/>
        <color theme="1"/>
        <rFont val="Bahnschrift Light"/>
        <family val="2"/>
      </rPr>
      <t>Actividad Económica</t>
    </r>
    <r>
      <rPr>
        <sz val="11"/>
        <color theme="1"/>
        <rFont val="Bahnschrift Light"/>
        <family val="2"/>
      </rPr>
      <t xml:space="preserve">: La mexicana América Móvil, S.A.B de C.V. </t>
    </r>
  </si>
  <si>
    <t xml:space="preserve">de servicios integrados de telecomunicaciones en Latinoamérica. </t>
  </si>
  <si>
    <t>La compañía ofrece servicios móviles y fijos, televisión paga, soluciones</t>
  </si>
  <si>
    <t>de TI y venta de equipos, accesorios, computadoras y contenido.</t>
  </si>
  <si>
    <r>
      <rPr>
        <u/>
        <sz val="11"/>
        <color theme="1"/>
        <rFont val="Bahnschrift Light"/>
        <family val="2"/>
      </rPr>
      <t>Dueño/s</t>
    </r>
    <r>
      <rPr>
        <sz val="11"/>
        <color theme="1"/>
        <rFont val="Bahnschrift Light"/>
        <family val="2"/>
      </rPr>
      <t>: Grupo Televisa</t>
    </r>
  </si>
  <si>
    <r>
      <rPr>
        <u/>
        <sz val="11"/>
        <color theme="1"/>
        <rFont val="Bahnschrift Light"/>
        <family val="2"/>
      </rPr>
      <t>Actividad Económica</t>
    </r>
    <r>
      <rPr>
        <sz val="11"/>
        <color theme="1"/>
        <rFont val="Bahnschrift Light"/>
        <family val="2"/>
      </rPr>
      <t>: izzi es una marca comercial de servicios de C.V.</t>
    </r>
  </si>
  <si>
    <t>Telecomunicaciones Mexicana, propiedad de Grupo Televisa, operada por</t>
  </si>
  <si>
    <t>Empresas Cablevisión, S.A.B. de C.V. y ofrece servicios de Telefonía,</t>
  </si>
  <si>
    <t>Internet y Televisión por cable tanto a personas como a empresas.</t>
  </si>
  <si>
    <r>
      <rPr>
        <u/>
        <sz val="11"/>
        <color theme="1"/>
        <rFont val="Bahnschrift Light"/>
        <family val="2"/>
      </rPr>
      <t>Actividad Económica</t>
    </r>
    <r>
      <rPr>
        <sz val="11"/>
        <color theme="1"/>
        <rFont val="Bahnschrift Light"/>
        <family val="2"/>
      </rPr>
      <t>: Empresa dedicada a la comunicación escrita,</t>
    </r>
  </si>
  <si>
    <t xml:space="preserve"> las artes gráficas, el entretenimiento, artículos promocionales y</t>
  </si>
  <si>
    <t>la industria del reconocimiento.</t>
  </si>
  <si>
    <r>
      <rPr>
        <u/>
        <sz val="11"/>
        <color theme="1"/>
        <rFont val="Bahnschrift Light"/>
        <family val="2"/>
      </rPr>
      <t>Dueño/s</t>
    </r>
    <r>
      <rPr>
        <sz val="11"/>
        <color theme="1"/>
        <rFont val="Bahnschrift Light"/>
        <family val="2"/>
      </rPr>
      <t>: Lic. Héctor Raymundo Gallo Fernández</t>
    </r>
  </si>
  <si>
    <r>
      <rPr>
        <u/>
        <sz val="11"/>
        <color theme="1"/>
        <rFont val="Bahnschrift Light"/>
        <family val="2"/>
      </rPr>
      <t>Dueño/s</t>
    </r>
    <r>
      <rPr>
        <sz val="11"/>
        <color theme="1"/>
        <rFont val="Bahnschrift Light"/>
        <family val="2"/>
      </rPr>
      <t>: Ricardo Salinas Pliego</t>
    </r>
  </si>
  <si>
    <r>
      <rPr>
        <u/>
        <sz val="11"/>
        <color theme="1"/>
        <rFont val="Bahnschrift Light"/>
        <family val="2"/>
      </rPr>
      <t>Actividad Económica</t>
    </r>
    <r>
      <rPr>
        <sz val="11"/>
        <color theme="1"/>
        <rFont val="Bahnschrift Light"/>
        <family val="2"/>
      </rPr>
      <t xml:space="preserve">: TV Azteca, S.A.B. de C.V. es uno de los dos </t>
    </r>
  </si>
  <si>
    <t xml:space="preserve">principales productores de contenido para televisión en español en </t>
  </si>
  <si>
    <t>el mundo. TV Azteca produce una variedad de contenidos, incluyendo</t>
  </si>
  <si>
    <t>series, realities, noticiarios, transmisiones deportivas, programas</t>
  </si>
  <si>
    <t xml:space="preserve"> musicales, programas de concursos, talk shows y programas de variedades.</t>
  </si>
  <si>
    <r>
      <rPr>
        <u/>
        <sz val="11"/>
        <color theme="1"/>
        <rFont val="Bahnschrift Light"/>
        <family val="2"/>
      </rPr>
      <t>Dueño/s</t>
    </r>
    <r>
      <rPr>
        <sz val="11"/>
        <color theme="1"/>
        <rFont val="Bahnschrift Light"/>
        <family val="2"/>
      </rPr>
      <t xml:space="preserve">:  Tomás Milmo Santos </t>
    </r>
  </si>
  <si>
    <r>
      <rPr>
        <u/>
        <sz val="11"/>
        <color theme="1"/>
        <rFont val="Bahnschrift Light"/>
        <family val="2"/>
      </rPr>
      <t>Actividad Económica</t>
    </r>
    <r>
      <rPr>
        <sz val="11"/>
        <color theme="1"/>
        <rFont val="Bahnschrift Light"/>
        <family val="2"/>
      </rPr>
      <t>: Axtel S.A.B de C.V. es una empresa de</t>
    </r>
  </si>
  <si>
    <t>telecomunicaciones mexicana que atiende a los mercados empresarial</t>
  </si>
  <si>
    <t>y de gobierno.</t>
  </si>
  <si>
    <t>Datos</t>
  </si>
  <si>
    <t>América Móvil</t>
  </si>
  <si>
    <t>Ventas</t>
  </si>
  <si>
    <t>Activo circulante</t>
  </si>
  <si>
    <t>Utilidad antes de intereses e impuestos</t>
  </si>
  <si>
    <t>Cuentas por cobrar</t>
  </si>
  <si>
    <t>Inventarios</t>
  </si>
  <si>
    <t>Pasivo circulante</t>
  </si>
  <si>
    <t>Activos totales</t>
  </si>
  <si>
    <t>Pasivo total</t>
  </si>
  <si>
    <t>Gastos financieros</t>
  </si>
  <si>
    <t>Ingreso neto</t>
  </si>
  <si>
    <t>Utilidad neta</t>
  </si>
  <si>
    <t>Capital contable</t>
  </si>
  <si>
    <t>Millones de Pesos</t>
  </si>
  <si>
    <t>Perdidas</t>
  </si>
  <si>
    <t>Patrimonio</t>
  </si>
  <si>
    <t>Razón Financiera</t>
  </si>
  <si>
    <t>Razón rápida</t>
  </si>
  <si>
    <t>Prueba ácida</t>
  </si>
  <si>
    <t>Razón de la deuda total</t>
  </si>
  <si>
    <t>Razón de deuda a Capital</t>
  </si>
  <si>
    <t>Rotación del inventario</t>
  </si>
  <si>
    <t>Periodo promedio de cobranzas</t>
  </si>
  <si>
    <t>Rotación del activo total</t>
  </si>
  <si>
    <t>Margen de utilidad</t>
  </si>
  <si>
    <t>Rendimiento sobre los activos</t>
  </si>
  <si>
    <t>Rendimiento sobre el capital</t>
  </si>
  <si>
    <t>Fórmulas</t>
  </si>
  <si>
    <t>Activo circulante / pasivo circulante</t>
  </si>
  <si>
    <t xml:space="preserve">Activo circulante – inventarios / pasivo circulante </t>
  </si>
  <si>
    <t xml:space="preserve">Pasivo total / activos totales </t>
  </si>
  <si>
    <t xml:space="preserve">Utilidad antes de intereses e impuestos / gastos financieros </t>
  </si>
  <si>
    <t xml:space="preserve">Ventas / inventarios </t>
  </si>
  <si>
    <t>Cuentas por cobrar / (ventas / 360)</t>
  </si>
  <si>
    <t xml:space="preserve">Ventas / activos totales </t>
  </si>
  <si>
    <t xml:space="preserve">Ingreso neto / ventas </t>
  </si>
  <si>
    <t xml:space="preserve">Utilidad neta / Activos totales </t>
  </si>
  <si>
    <t xml:space="preserve">Ingreso neto / capital contable </t>
  </si>
  <si>
    <t>Resultados</t>
  </si>
  <si>
    <t>Razon rapida</t>
  </si>
  <si>
    <t>Prueba del acido</t>
  </si>
  <si>
    <t>Razon de la deuda total</t>
  </si>
  <si>
    <t>Razón rapida</t>
  </si>
  <si>
    <t>Rotación del interes generado</t>
  </si>
  <si>
    <t>QUMMA</t>
  </si>
  <si>
    <t>Valor en Miles</t>
  </si>
  <si>
    <t>TV Azteca</t>
  </si>
  <si>
    <t xml:space="preserve">Pasivo a largo plazo </t>
  </si>
  <si>
    <t xml:space="preserve">Suma del pasivo </t>
  </si>
  <si>
    <t xml:space="preserve">Capital contable </t>
  </si>
  <si>
    <t xml:space="preserve">Capital social </t>
  </si>
  <si>
    <t>Utilidad o pérdida del ejercicio</t>
  </si>
  <si>
    <t xml:space="preserve">Suma del pasivo y capital </t>
  </si>
  <si>
    <t xml:space="preserve">Bancos </t>
  </si>
  <si>
    <t>Otros activos financieros</t>
  </si>
  <si>
    <t>Cuentas por cobrar a clientes</t>
  </si>
  <si>
    <t xml:space="preserve">Inventarios </t>
  </si>
  <si>
    <t xml:space="preserve">Suma de Activo Circulante </t>
  </si>
  <si>
    <t xml:space="preserve">Suma del Activo </t>
  </si>
  <si>
    <t xml:space="preserve">Impuestos por pagar </t>
  </si>
  <si>
    <t>No financieros</t>
  </si>
  <si>
    <t xml:space="preserve">Provisiones por beneficios a los empleados </t>
  </si>
  <si>
    <t xml:space="preserve">Suma del pasivo a corto plazo </t>
  </si>
  <si>
    <t xml:space="preserve">Ventas </t>
  </si>
  <si>
    <t xml:space="preserve">Costo de ventas </t>
  </si>
  <si>
    <t xml:space="preserve">Utilidad bruta </t>
  </si>
  <si>
    <t xml:space="preserve">Gastos de administración </t>
  </si>
  <si>
    <t>Utilidad o pérdida de operación</t>
  </si>
  <si>
    <t xml:space="preserve">Impuestos </t>
  </si>
  <si>
    <t xml:space="preserve">Utilidad o pérdida neta </t>
  </si>
  <si>
    <t>Pasivo total / activos totales</t>
  </si>
  <si>
    <t>Pasivo total / Capital total</t>
  </si>
  <si>
    <t>Ventas / inventarios</t>
  </si>
  <si>
    <t>Ventas / activos totales</t>
  </si>
  <si>
    <t>Ingreso neto / Ventas</t>
  </si>
  <si>
    <t>Utilidad neta / Activos totales</t>
  </si>
  <si>
    <t>Ingreso neto/ Capital contable</t>
  </si>
  <si>
    <t>Activo circulante – inventarios / pasivo circulante</t>
  </si>
  <si>
    <t>Impuestos por recuperar</t>
  </si>
  <si>
    <t>Cuentas por pagar a proveedores</t>
  </si>
  <si>
    <t xml:space="preserve">Financieros </t>
  </si>
  <si>
    <t>Arrendamiento</t>
  </si>
  <si>
    <t>Ingresos netos</t>
  </si>
  <si>
    <t>AXTEL</t>
  </si>
  <si>
    <t>Puntos Débiles y Fuertes</t>
  </si>
  <si>
    <t>Puntos Fuertes y Débiles</t>
  </si>
  <si>
    <t>bueno</t>
  </si>
  <si>
    <t>malo</t>
  </si>
  <si>
    <t>regular</t>
  </si>
  <si>
    <t>Axtel</t>
  </si>
  <si>
    <t>izzi</t>
  </si>
  <si>
    <t>Promedio</t>
  </si>
  <si>
    <t>QUMA</t>
  </si>
  <si>
    <t xml:space="preserve">Impuestos  </t>
  </si>
  <si>
    <t>SUMA</t>
  </si>
  <si>
    <t>Puedes ir a los estados de resultado de cada empresa y cambiar los valores para hacer comparaciones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</si>
</sst>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9" x14ac:knownFonts="1">
    <font>
      <sz val="11"/>
      <color theme="1"/>
      <name val="Calibri"/>
      <family val="2"/>
      <scheme val="minor"/>
    </font>
    <font>
      <sz val="13"/>
      <color theme="1" tint="0.14999847407452621"/>
      <name val="Bahnschrift Light"/>
      <family val="2"/>
    </font>
    <font>
      <sz val="13"/>
      <color theme="1" tint="0.14999847407452621"/>
      <name val="Calibri"/>
      <family val="2"/>
      <scheme val="minor"/>
    </font>
    <font>
      <sz val="11"/>
      <color theme="1"/>
      <name val="Bahnschrift Light"/>
      <family val="2"/>
    </font>
    <font>
      <sz val="13"/>
      <color theme="1"/>
      <name val="Bahnschrift Light"/>
      <family val="2"/>
    </font>
    <font>
      <u/>
      <sz val="11"/>
      <color theme="1"/>
      <name val="Bahnschrift Light"/>
      <family val="2"/>
    </font>
    <font>
      <sz val="16"/>
      <color theme="1"/>
      <name val="Bahnschrift Light"/>
      <family val="2"/>
    </font>
    <font>
      <sz val="14"/>
      <color theme="1" tint="0.14999847407452621"/>
      <name val="Bahnschrift Light"/>
      <family val="2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u/>
      <sz val="14"/>
      <color theme="1" tint="0.14999847407452621"/>
      <name val="Bahnschrift Light"/>
      <family val="2"/>
    </font>
    <font>
      <sz val="10"/>
      <color theme="1"/>
      <name val="Bahnschrift Light"/>
      <family val="2"/>
    </font>
    <font>
      <sz val="11"/>
      <name val="Calibri"/>
      <family val="2"/>
      <scheme val="minor"/>
    </font>
    <font>
      <sz val="11"/>
      <name val="Bahnschrift Light"/>
      <family val="2"/>
    </font>
    <font>
      <sz val="11"/>
      <color theme="1"/>
      <name val="Calibri"/>
      <family val="2"/>
      <scheme val="minor"/>
    </font>
    <font>
      <b/>
      <sz val="11"/>
      <color theme="0"/>
      <name val="Bahnschrift Light"/>
      <family val="2"/>
    </font>
    <font>
      <b/>
      <sz val="11"/>
      <name val="Bahnschrift Light"/>
      <family val="2"/>
    </font>
    <font>
      <sz val="11"/>
      <color rgb="FF000000"/>
      <name val="Bahnschrift Light"/>
      <family val="2"/>
    </font>
    <font>
      <b/>
      <sz val="10"/>
      <color theme="1"/>
      <name val="Bahnschrift Light"/>
      <family val="2"/>
    </font>
  </fonts>
  <fills count="2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13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3" borderId="0" xfId="0" applyFill="1"/>
    <xf numFmtId="0" fontId="0" fillId="7" borderId="0" xfId="0" applyFill="1"/>
    <xf numFmtId="0" fontId="3" fillId="7" borderId="0" xfId="0" applyFont="1" applyFill="1"/>
    <xf numFmtId="0" fontId="3" fillId="7" borderId="0" xfId="0" applyFont="1" applyFill="1" applyAlignment="1">
      <alignment horizontal="center"/>
    </xf>
    <xf numFmtId="0" fontId="1" fillId="2" borderId="0" xfId="0" applyFont="1" applyFill="1" applyAlignment="1"/>
    <xf numFmtId="0" fontId="0" fillId="8" borderId="0" xfId="0" applyFill="1"/>
    <xf numFmtId="0" fontId="0" fillId="7" borderId="0" xfId="0" applyFill="1" applyAlignment="1"/>
    <xf numFmtId="0" fontId="3" fillId="7" borderId="0" xfId="0" applyFont="1" applyFill="1" applyAlignment="1"/>
    <xf numFmtId="0" fontId="0" fillId="2" borderId="0" xfId="0" applyFill="1" applyAlignment="1"/>
    <xf numFmtId="0" fontId="0" fillId="9" borderId="0" xfId="0" applyFill="1"/>
    <xf numFmtId="0" fontId="0" fillId="11" borderId="0" xfId="0" applyFill="1"/>
    <xf numFmtId="0" fontId="8" fillId="12" borderId="0" xfId="0" applyFont="1" applyFill="1"/>
    <xf numFmtId="0" fontId="9" fillId="12" borderId="0" xfId="0" applyFont="1" applyFill="1"/>
    <xf numFmtId="0" fontId="3" fillId="11" borderId="0" xfId="0" applyFont="1" applyFill="1" applyAlignment="1"/>
    <xf numFmtId="0" fontId="3" fillId="11" borderId="0" xfId="0" applyFont="1" applyFill="1"/>
    <xf numFmtId="0" fontId="4" fillId="8" borderId="0" xfId="0" applyFont="1" applyFill="1" applyAlignment="1"/>
    <xf numFmtId="0" fontId="3" fillId="8" borderId="0" xfId="0" applyFont="1" applyFill="1" applyAlignment="1"/>
    <xf numFmtId="0" fontId="3" fillId="8" borderId="0" xfId="0" applyFont="1" applyFill="1"/>
    <xf numFmtId="0" fontId="3" fillId="9" borderId="0" xfId="0" applyFont="1" applyFill="1" applyAlignment="1"/>
    <xf numFmtId="0" fontId="3" fillId="9" borderId="0" xfId="0" applyFont="1" applyFill="1"/>
    <xf numFmtId="0" fontId="4" fillId="12" borderId="0" xfId="0" applyFont="1" applyFill="1" applyAlignment="1"/>
    <xf numFmtId="0" fontId="0" fillId="12" borderId="0" xfId="0" applyFill="1"/>
    <xf numFmtId="0" fontId="3" fillId="12" borderId="0" xfId="0" applyFont="1" applyFill="1" applyAlignment="1"/>
    <xf numFmtId="0" fontId="3" fillId="12" borderId="0" xfId="0" applyFont="1" applyFill="1"/>
    <xf numFmtId="0" fontId="11" fillId="7" borderId="0" xfId="0" applyFont="1" applyFill="1"/>
    <xf numFmtId="0" fontId="12" fillId="12" borderId="0" xfId="0" applyFont="1" applyFill="1"/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5" fillId="15" borderId="1" xfId="0" applyFont="1" applyFill="1" applyBorder="1" applyAlignment="1">
      <alignment horizont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5" fontId="3" fillId="8" borderId="0" xfId="0" applyNumberFormat="1" applyFont="1" applyFill="1"/>
    <xf numFmtId="0" fontId="3" fillId="5" borderId="1" xfId="0" applyFont="1" applyFill="1" applyBorder="1"/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/>
    <xf numFmtId="0" fontId="3" fillId="5" borderId="2" xfId="0" applyFont="1" applyFill="1" applyBorder="1" applyAlignment="1">
      <alignment horizontal="center"/>
    </xf>
    <xf numFmtId="0" fontId="16" fillId="16" borderId="1" xfId="0" applyFont="1" applyFill="1" applyBorder="1" applyAlignment="1">
      <alignment horizontal="center"/>
    </xf>
    <xf numFmtId="0" fontId="3" fillId="10" borderId="1" xfId="0" applyFont="1" applyFill="1" applyBorder="1"/>
    <xf numFmtId="0" fontId="3" fillId="10" borderId="1" xfId="0" applyFont="1" applyFill="1" applyBorder="1" applyAlignment="1">
      <alignment horizontal="center"/>
    </xf>
    <xf numFmtId="0" fontId="3" fillId="10" borderId="2" xfId="0" applyFont="1" applyFill="1" applyBorder="1"/>
    <xf numFmtId="0" fontId="3" fillId="10" borderId="2" xfId="0" applyFont="1" applyFill="1" applyBorder="1" applyAlignment="1">
      <alignment horizontal="center"/>
    </xf>
    <xf numFmtId="2" fontId="3" fillId="10" borderId="1" xfId="0" applyNumberFormat="1" applyFont="1" applyFill="1" applyBorder="1"/>
    <xf numFmtId="9" fontId="3" fillId="10" borderId="1" xfId="0" applyNumberFormat="1" applyFont="1" applyFill="1" applyBorder="1"/>
    <xf numFmtId="10" fontId="3" fillId="10" borderId="1" xfId="0" applyNumberFormat="1" applyFont="1" applyFill="1" applyBorder="1"/>
    <xf numFmtId="0" fontId="15" fillId="17" borderId="1" xfId="0" applyFont="1" applyFill="1" applyBorder="1" applyAlignment="1">
      <alignment horizontal="center"/>
    </xf>
    <xf numFmtId="44" fontId="3" fillId="4" borderId="1" xfId="0" applyNumberFormat="1" applyFont="1" applyFill="1" applyBorder="1"/>
    <xf numFmtId="44" fontId="3" fillId="5" borderId="1" xfId="1" applyFont="1" applyFill="1" applyBorder="1"/>
    <xf numFmtId="44" fontId="3" fillId="5" borderId="1" xfId="1" applyFont="1" applyFill="1" applyBorder="1" applyAlignment="1">
      <alignment horizontal="right"/>
    </xf>
    <xf numFmtId="44" fontId="3" fillId="10" borderId="1" xfId="1" applyFont="1" applyFill="1" applyBorder="1"/>
    <xf numFmtId="44" fontId="3" fillId="10" borderId="5" xfId="1" applyFont="1" applyFill="1" applyBorder="1"/>
    <xf numFmtId="44" fontId="3" fillId="10" borderId="1" xfId="1" applyFont="1" applyFill="1" applyBorder="1" applyAlignment="1">
      <alignment vertical="center" wrapText="1"/>
    </xf>
    <xf numFmtId="44" fontId="3" fillId="10" borderId="6" xfId="1" applyFont="1" applyFill="1" applyBorder="1"/>
    <xf numFmtId="0" fontId="3" fillId="4" borderId="1" xfId="0" applyNumberFormat="1" applyFont="1" applyFill="1" applyBorder="1"/>
    <xf numFmtId="0" fontId="3" fillId="13" borderId="1" xfId="0" applyFont="1" applyFill="1" applyBorder="1"/>
    <xf numFmtId="0" fontId="17" fillId="13" borderId="1" xfId="0" applyFont="1" applyFill="1" applyBorder="1" applyAlignment="1">
      <alignment horizontal="justify" vertical="center"/>
    </xf>
    <xf numFmtId="44" fontId="17" fillId="13" borderId="1" xfId="0" applyNumberFormat="1" applyFont="1" applyFill="1" applyBorder="1" applyAlignment="1">
      <alignment horizontal="right" vertical="center" wrapText="1"/>
    </xf>
    <xf numFmtId="0" fontId="17" fillId="13" borderId="1" xfId="0" applyFont="1" applyFill="1" applyBorder="1" applyAlignment="1">
      <alignment horizontal="justify" vertical="center" wrapText="1"/>
    </xf>
    <xf numFmtId="44" fontId="17" fillId="13" borderId="1" xfId="1" applyFont="1" applyFill="1" applyBorder="1" applyAlignment="1">
      <alignment horizontal="right" vertical="center" wrapText="1"/>
    </xf>
    <xf numFmtId="0" fontId="3" fillId="13" borderId="1" xfId="0" applyFont="1" applyFill="1" applyBorder="1" applyAlignment="1">
      <alignment horizontal="justify" vertical="center"/>
    </xf>
    <xf numFmtId="44" fontId="3" fillId="13" borderId="1" xfId="0" applyNumberFormat="1" applyFont="1" applyFill="1" applyBorder="1" applyAlignment="1">
      <alignment horizontal="right" vertical="center" wrapText="1"/>
    </xf>
    <xf numFmtId="0" fontId="3" fillId="13" borderId="1" xfId="0" applyFont="1" applyFill="1" applyBorder="1" applyAlignment="1">
      <alignment horizontal="justify" vertical="center" wrapText="1"/>
    </xf>
    <xf numFmtId="44" fontId="3" fillId="13" borderId="1" xfId="1" applyFont="1" applyFill="1" applyBorder="1" applyAlignment="1">
      <alignment horizontal="right" vertical="center" wrapText="1"/>
    </xf>
    <xf numFmtId="0" fontId="15" fillId="14" borderId="1" xfId="0" applyFont="1" applyFill="1" applyBorder="1" applyAlignment="1">
      <alignment horizontal="center"/>
    </xf>
    <xf numFmtId="0" fontId="3" fillId="13" borderId="1" xfId="0" applyNumberFormat="1" applyFont="1" applyFill="1" applyBorder="1" applyAlignment="1">
      <alignment horizontal="right" vertical="center" wrapText="1"/>
    </xf>
    <xf numFmtId="0" fontId="3" fillId="13" borderId="1" xfId="1" applyNumberFormat="1" applyFont="1" applyFill="1" applyBorder="1" applyAlignment="1">
      <alignment horizontal="right" vertical="center" wrapText="1"/>
    </xf>
    <xf numFmtId="0" fontId="3" fillId="13" borderId="1" xfId="0" applyFont="1" applyFill="1" applyBorder="1" applyAlignment="1">
      <alignment vertical="center" wrapText="1"/>
    </xf>
    <xf numFmtId="0" fontId="17" fillId="13" borderId="1" xfId="0" applyFont="1" applyFill="1" applyBorder="1" applyAlignment="1">
      <alignment vertical="center" wrapText="1"/>
    </xf>
    <xf numFmtId="0" fontId="3" fillId="11" borderId="0" xfId="0" applyFont="1" applyFill="1" applyBorder="1"/>
    <xf numFmtId="0" fontId="3" fillId="6" borderId="0" xfId="0" applyFont="1" applyFill="1"/>
    <xf numFmtId="0" fontId="15" fillId="18" borderId="1" xfId="0" applyFont="1" applyFill="1" applyBorder="1" applyAlignment="1">
      <alignment horizontal="center"/>
    </xf>
    <xf numFmtId="0" fontId="17" fillId="19" borderId="1" xfId="0" applyFont="1" applyFill="1" applyBorder="1" applyAlignment="1">
      <alignment horizontal="justify" vertical="center" wrapText="1"/>
    </xf>
    <xf numFmtId="44" fontId="17" fillId="19" borderId="1" xfId="1" applyFont="1" applyFill="1" applyBorder="1" applyAlignment="1">
      <alignment horizontal="right" vertical="center" wrapText="1"/>
    </xf>
    <xf numFmtId="44" fontId="17" fillId="19" borderId="1" xfId="0" applyNumberFormat="1" applyFont="1" applyFill="1" applyBorder="1" applyAlignment="1">
      <alignment horizontal="right" vertical="center" wrapText="1"/>
    </xf>
    <xf numFmtId="0" fontId="3" fillId="19" borderId="1" xfId="0" applyFont="1" applyFill="1" applyBorder="1" applyAlignment="1">
      <alignment horizontal="justify" vertical="center" wrapText="1"/>
    </xf>
    <xf numFmtId="44" fontId="3" fillId="19" borderId="1" xfId="0" applyNumberFormat="1" applyFont="1" applyFill="1" applyBorder="1" applyAlignment="1">
      <alignment horizontal="right" vertical="center" wrapText="1"/>
    </xf>
    <xf numFmtId="44" fontId="3" fillId="19" borderId="1" xfId="1" applyFont="1" applyFill="1" applyBorder="1" applyAlignment="1">
      <alignment horizontal="right" vertical="center" wrapText="1"/>
    </xf>
    <xf numFmtId="0" fontId="3" fillId="19" borderId="1" xfId="0" applyFont="1" applyFill="1" applyBorder="1"/>
    <xf numFmtId="0" fontId="3" fillId="19" borderId="1" xfId="0" applyFont="1" applyFill="1" applyBorder="1" applyAlignment="1">
      <alignment vertical="center" wrapText="1"/>
    </xf>
    <xf numFmtId="0" fontId="17" fillId="19" borderId="1" xfId="0" applyFont="1" applyFill="1" applyBorder="1" applyAlignment="1">
      <alignment vertical="center" wrapText="1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3" applyNumberFormat="1" applyFont="1" applyFill="1" applyBorder="1" applyAlignment="1">
      <alignment horizontal="right" vertical="center" wrapText="1"/>
    </xf>
    <xf numFmtId="0" fontId="17" fillId="2" borderId="1" xfId="0" applyFont="1" applyFill="1" applyBorder="1" applyAlignment="1">
      <alignment horizontal="justify" vertical="center" wrapText="1"/>
    </xf>
    <xf numFmtId="0" fontId="3" fillId="2" borderId="1" xfId="0" applyFont="1" applyFill="1" applyBorder="1" applyAlignment="1">
      <alignment horizontal="justify" vertical="center" wrapText="1"/>
    </xf>
    <xf numFmtId="0" fontId="3" fillId="2" borderId="1" xfId="0" applyFont="1" applyFill="1" applyBorder="1" applyAlignment="1">
      <alignment vertical="center" wrapText="1"/>
    </xf>
    <xf numFmtId="44" fontId="3" fillId="5" borderId="1" xfId="1" applyNumberFormat="1" applyFont="1" applyFill="1" applyBorder="1" applyAlignment="1">
      <alignment horizontal="right"/>
    </xf>
    <xf numFmtId="0" fontId="3" fillId="2" borderId="1" xfId="0" applyNumberFormat="1" applyFont="1" applyFill="1" applyBorder="1" applyAlignment="1">
      <alignment horizontal="right"/>
    </xf>
    <xf numFmtId="0" fontId="3" fillId="2" borderId="1" xfId="0" applyNumberFormat="1" applyFont="1" applyFill="1" applyBorder="1"/>
    <xf numFmtId="0" fontId="3" fillId="2" borderId="1" xfId="0" applyNumberFormat="1" applyFont="1" applyFill="1" applyBorder="1" applyAlignment="1">
      <alignment horizontal="right" vertical="center" wrapText="1"/>
    </xf>
    <xf numFmtId="0" fontId="3" fillId="2" borderId="1" xfId="2" applyNumberFormat="1" applyFont="1" applyFill="1" applyBorder="1"/>
    <xf numFmtId="0" fontId="3" fillId="2" borderId="1" xfId="2" applyNumberFormat="1" applyFont="1" applyFill="1" applyBorder="1" applyAlignment="1">
      <alignment horizontal="right"/>
    </xf>
    <xf numFmtId="0" fontId="3" fillId="2" borderId="1" xfId="2" applyNumberFormat="1" applyFont="1" applyFill="1" applyBorder="1" applyAlignment="1">
      <alignment horizontal="right" vertical="center" wrapText="1"/>
    </xf>
    <xf numFmtId="0" fontId="15" fillId="2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right"/>
    </xf>
    <xf numFmtId="0" fontId="7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4" fillId="4" borderId="0" xfId="0" applyFont="1" applyFill="1" applyAlignment="1">
      <alignment horizontal="center"/>
    </xf>
    <xf numFmtId="0" fontId="15" fillId="15" borderId="2" xfId="0" applyFont="1" applyFill="1" applyBorder="1" applyAlignment="1">
      <alignment horizontal="center"/>
    </xf>
    <xf numFmtId="0" fontId="15" fillId="15" borderId="3" xfId="0" applyFont="1" applyFill="1" applyBorder="1" applyAlignment="1">
      <alignment horizontal="center"/>
    </xf>
    <xf numFmtId="0" fontId="15" fillId="15" borderId="4" xfId="0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16" fillId="16" borderId="2" xfId="0" applyFont="1" applyFill="1" applyBorder="1" applyAlignment="1">
      <alignment horizontal="center"/>
    </xf>
    <xf numFmtId="0" fontId="16" fillId="16" borderId="3" xfId="0" applyFont="1" applyFill="1" applyBorder="1" applyAlignment="1">
      <alignment horizontal="center"/>
    </xf>
    <xf numFmtId="0" fontId="16" fillId="16" borderId="4" xfId="0" applyFont="1" applyFill="1" applyBorder="1" applyAlignment="1">
      <alignment horizontal="center"/>
    </xf>
    <xf numFmtId="0" fontId="3" fillId="8" borderId="7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4" fillId="10" borderId="0" xfId="0" applyFont="1" applyFill="1" applyAlignment="1">
      <alignment horizontal="center"/>
    </xf>
    <xf numFmtId="0" fontId="15" fillId="17" borderId="2" xfId="0" applyFont="1" applyFill="1" applyBorder="1" applyAlignment="1">
      <alignment horizontal="center"/>
    </xf>
    <xf numFmtId="0" fontId="15" fillId="17" borderId="3" xfId="0" applyFont="1" applyFill="1" applyBorder="1" applyAlignment="1">
      <alignment horizontal="center"/>
    </xf>
    <xf numFmtId="0" fontId="15" fillId="17" borderId="4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0" xfId="0" applyFont="1" applyFill="1" applyAlignment="1">
      <alignment horizontal="center"/>
    </xf>
    <xf numFmtId="0" fontId="4" fillId="14" borderId="0" xfId="0" applyFont="1" applyFill="1" applyAlignment="1">
      <alignment horizontal="center"/>
    </xf>
    <xf numFmtId="0" fontId="15" fillId="14" borderId="2" xfId="0" applyFont="1" applyFill="1" applyBorder="1" applyAlignment="1">
      <alignment horizontal="center"/>
    </xf>
    <xf numFmtId="0" fontId="15" fillId="14" borderId="3" xfId="0" applyFont="1" applyFill="1" applyBorder="1" applyAlignment="1">
      <alignment horizontal="center"/>
    </xf>
    <xf numFmtId="0" fontId="15" fillId="14" borderId="4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15" fillId="18" borderId="1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18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4">
    <cellStyle name="Moneda" xfId="1" builtinId="4"/>
    <cellStyle name="Moneda 2" xfId="3" xr:uid="{AE1BDBFB-AD1D-4C86-8FE6-FE2CBC5E47F4}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993300"/>
      <color rgb="FFFF66FF"/>
      <color rgb="FFFF00FF"/>
      <color rgb="FFFF99FF"/>
      <color rgb="FFFF3399"/>
      <color rgb="FFCC3300"/>
      <color rgb="FFB00000"/>
      <color rgb="FFFF505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Razón Rápida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Resultados!$B$4</c:f>
              <c:numCache>
                <c:formatCode>General</c:formatCode>
                <c:ptCount val="1"/>
                <c:pt idx="0">
                  <c:v>1.6379946822858464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0-4629-AF9A-834FBCF16CE3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Resultados!$C$4</c:f>
              <c:numCache>
                <c:formatCode>General</c:formatCode>
                <c:ptCount val="1"/>
                <c:pt idx="0">
                  <c:v>0.70350782051489213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C0-4629-AF9A-834FBCF16CE3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Resultados!$D$4</c:f>
              <c:numCache>
                <c:formatCode>General</c:formatCode>
                <c:ptCount val="1"/>
                <c:pt idx="0">
                  <c:v>1.1295175123436492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C0-4629-AF9A-834FBCF16CE3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Resultados!$E$4</c:f>
              <c:numCache>
                <c:formatCode>General</c:formatCode>
                <c:ptCount val="1"/>
                <c:pt idx="0">
                  <c:v>1.1713416075835914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C0-4629-AF9A-834FBCF16CE3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Resultados!$F$4</c:f>
              <c:numCache>
                <c:formatCode>General</c:formatCode>
                <c:ptCount val="1"/>
                <c:pt idx="0">
                  <c:v>0.82447496685846189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C0-4629-AF9A-834FBCF16C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Prueba Ácida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Resultados!$B$5</c:f>
              <c:numCache>
                <c:formatCode>General</c:formatCode>
                <c:ptCount val="1"/>
                <c:pt idx="0">
                  <c:v>0.93545142769064771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D-4EE3-BCE8-B00471037AC7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Resultados!$C$5</c:f>
              <c:numCache>
                <c:formatCode>General</c:formatCode>
                <c:ptCount val="1"/>
                <c:pt idx="0">
                  <c:v>0.6422743594181971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9D-4EE3-BCE8-B00471037AC7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Resultados!$D$5</c:f>
              <c:numCache>
                <c:formatCode>General</c:formatCode>
                <c:ptCount val="1"/>
                <c:pt idx="0">
                  <c:v>1.1294865328965034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9D-4EE3-BCE8-B00471037AC7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Resultados!$E$5</c:f>
              <c:numCache>
                <c:formatCode>General</c:formatCode>
                <c:ptCount val="1"/>
                <c:pt idx="0">
                  <c:v>1.1583168855957198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9D-4EE3-BCE8-B00471037AC7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Resultados!$F$5</c:f>
              <c:numCache>
                <c:formatCode>General</c:formatCode>
                <c:ptCount val="1"/>
                <c:pt idx="0">
                  <c:v>0.62473088786004594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9D-4EE3-BCE8-B00471037AC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Razón de la Deuda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Resultados!$B$6</c:f>
              <c:numCache>
                <c:formatCode>General</c:formatCode>
                <c:ptCount val="1"/>
                <c:pt idx="0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6-44D6-85FB-9722C302414A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Resultados!$C$6</c:f>
              <c:numCache>
                <c:formatCode>General</c:formatCode>
                <c:ptCount val="1"/>
                <c:pt idx="0">
                  <c:v>0.84211109697883402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D6-44D6-85FB-9722C302414A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Resultados!$D$6</c:f>
              <c:numCache>
                <c:formatCode>General</c:formatCode>
                <c:ptCount val="1"/>
                <c:pt idx="0">
                  <c:v>0.32628468191945709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D6-44D6-85FB-9722C302414A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Resultados!$E$6</c:f>
              <c:numCache>
                <c:formatCode>General</c:formatCode>
                <c:ptCount val="1"/>
                <c:pt idx="0">
                  <c:v>0.85254404928820615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D6-44D6-85FB-9722C302414A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Resultados!$F$6</c:f>
              <c:numCache>
                <c:formatCode>General</c:formatCode>
                <c:ptCount val="1"/>
                <c:pt idx="0">
                  <c:v>0.87298968480704875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D6-44D6-85FB-9722C30241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Rotación del Interés Generado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Resultados!$B$7</c:f>
              <c:numCache>
                <c:formatCode>General</c:formatCode>
                <c:ptCount val="1"/>
                <c:pt idx="0">
                  <c:v>2.1600254210359071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5-429E-AD90-86D1C29E82D3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Resultados!$C$7</c:f>
              <c:numCache>
                <c:formatCode>General</c:formatCode>
                <c:ptCount val="1"/>
                <c:pt idx="0">
                  <c:v>-0.7655451965950546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55-429E-AD90-86D1C29E82D3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Resultados!$D$7</c:f>
              <c:numCache>
                <c:formatCode>General</c:formatCode>
                <c:ptCount val="1"/>
                <c:pt idx="0">
                  <c:v>0.59728555562185637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55-429E-AD90-86D1C29E82D3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Resultados!$E$7</c:f>
              <c:numCache>
                <c:formatCode>General</c:formatCode>
                <c:ptCount val="1"/>
                <c:pt idx="0">
                  <c:v>43.518442269923852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55-429E-AD90-86D1C29E82D3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Resultados!$F$7</c:f>
              <c:numCache>
                <c:formatCode>General</c:formatCode>
                <c:ptCount val="1"/>
                <c:pt idx="0">
                  <c:v>34.62894554380707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55-429E-AD90-86D1C29E82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Rotación del Inventario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Resultados!$B$8</c:f>
              <c:numCache>
                <c:formatCode>General</c:formatCode>
                <c:ptCount val="1"/>
                <c:pt idx="0">
                  <c:v>0.69183345491643677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D-4EA1-B1F2-345ECD283F2F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Resultados!$C$8</c:f>
              <c:numCache>
                <c:formatCode>General</c:formatCode>
                <c:ptCount val="1"/>
                <c:pt idx="0">
                  <c:v>3.8591642962397192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D-4EA1-B1F2-345ECD283F2F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Resultados!$D$8</c:f>
              <c:numCache>
                <c:formatCode>General</c:formatCode>
                <c:ptCount val="1"/>
                <c:pt idx="0">
                  <c:v>14554.547224697157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2D-4EA1-B1F2-345ECD283F2F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Resultados!$E$8</c:f>
              <c:numCache>
                <c:formatCode>General</c:formatCode>
                <c:ptCount val="1"/>
                <c:pt idx="0">
                  <c:v>20.107685467479676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2D-4EA1-B1F2-345ECD283F2F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Resultados!$F$8</c:f>
              <c:numCache>
                <c:formatCode>General</c:formatCode>
                <c:ptCount val="1"/>
                <c:pt idx="0">
                  <c:v>4.7833043067173016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2D-4EA1-B1F2-345ECD283F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Periodo Promedio de Cobranzas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Resultados!$B$9</c:f>
              <c:numCache>
                <c:formatCode>General</c:formatCode>
                <c:ptCount val="1"/>
                <c:pt idx="0">
                  <c:v>683.27019891701616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2B-4B8D-9853-8FE575A0036F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Resultados!$C$9</c:f>
              <c:numCache>
                <c:formatCode>General</c:formatCode>
                <c:ptCount val="1"/>
                <c:pt idx="0">
                  <c:v>1.4611178658355455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2B-4B8D-9853-8FE575A0036F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Resultados!$D$9</c:f>
              <c:numCache>
                <c:formatCode>General</c:formatCode>
                <c:ptCount val="1"/>
                <c:pt idx="0">
                  <c:v>167.48094691568886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2B-4B8D-9853-8FE575A0036F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Resultados!$E$9</c:f>
              <c:numCache>
                <c:formatCode>General</c:formatCode>
                <c:ptCount val="1"/>
                <c:pt idx="0">
                  <c:v>809.25168538048126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2B-4B8D-9853-8FE575A0036F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Resultados!$F$9</c:f>
              <c:numCache>
                <c:formatCode>General</c:formatCode>
                <c:ptCount val="1"/>
                <c:pt idx="0">
                  <c:v>150.20585820124211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2B-4B8D-9853-8FE575A003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Rotación</a:t>
            </a:r>
            <a:r>
              <a:rPr lang="en-US" baseline="0"/>
              <a:t> de Activo Total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Resultados!$B$10</c:f>
              <c:numCache>
                <c:formatCode>General</c:formatCode>
                <c:ptCount val="1"/>
                <c:pt idx="0">
                  <c:v>0.16714770347989716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3E-4051-8E98-995469E8EDE2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Resultados!$C$10</c:f>
              <c:numCache>
                <c:formatCode>General</c:formatCode>
                <c:ptCount val="1"/>
                <c:pt idx="0">
                  <c:v>7.7807999287491644E-2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3E-4051-8E98-995469E8EDE2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Resultados!$D$10</c:f>
              <c:numCache>
                <c:formatCode>General</c:formatCode>
                <c:ptCount val="1"/>
                <c:pt idx="0">
                  <c:v>8.5092336839065169E-2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3E-4051-8E98-995469E8EDE2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Resultados!$E$10</c:f>
              <c:numCache>
                <c:formatCode>General</c:formatCode>
                <c:ptCount val="1"/>
                <c:pt idx="0">
                  <c:v>6.6777225382633074E-2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3E-4051-8E98-995469E8EDE2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Resultados!$F$10</c:f>
              <c:numCache>
                <c:formatCode>General</c:formatCode>
                <c:ptCount val="1"/>
                <c:pt idx="0">
                  <c:v>0.37795853285949349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3E-4051-8E98-995469E8E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Margen de Utilidad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Resultados!$B$11</c:f>
              <c:numCache>
                <c:formatCode>General</c:formatCode>
                <c:ptCount val="1"/>
                <c:pt idx="0">
                  <c:v>0.12248975287989662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0-4D7A-A9FF-9813238D34E2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Resultados!$C$11</c:f>
              <c:numCache>
                <c:formatCode>General</c:formatCode>
                <c:ptCount val="1"/>
                <c:pt idx="0">
                  <c:v>2.1754301453786389E-6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30-4D7A-A9FF-9813238D34E2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Resultados!$D$11</c:f>
              <c:numCache>
                <c:formatCode>General</c:formatCode>
                <c:ptCount val="1"/>
                <c:pt idx="0">
                  <c:v>1677.9768277846044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30-4D7A-A9FF-9813238D34E2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Resultados!$E$11</c:f>
              <c:numCache>
                <c:formatCode>General</c:formatCode>
                <c:ptCount val="1"/>
                <c:pt idx="0">
                  <c:v>1.962351465085411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30-4D7A-A9FF-9813238D34E2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Resultados!$F$11</c:f>
              <c:numCache>
                <c:formatCode>General</c:formatCode>
                <c:ptCount val="1"/>
                <c:pt idx="0">
                  <c:v>1.1859115914275045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30-4D7A-A9FF-9813238D34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Rendimiento sobre los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Resultados!$B$12</c:f>
              <c:numCache>
                <c:formatCode>General</c:formatCode>
                <c:ptCount val="1"/>
                <c:pt idx="0">
                  <c:v>4.5039887625559882E-2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7-4462-AB82-7DCAA0AADC37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Resultados!$C$12</c:f>
              <c:numCache>
                <c:formatCode>General</c:formatCode>
                <c:ptCount val="1"/>
                <c:pt idx="0">
                  <c:v>-2.4764430856986594E-8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E7-4462-AB82-7DCAA0AADC37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Resultados!$D$12</c:f>
              <c:numCache>
                <c:formatCode>General</c:formatCode>
                <c:ptCount val="1"/>
                <c:pt idx="0">
                  <c:v>7.6376297254341108E-6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E7-4462-AB82-7DCAA0AADC37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Resultados!$E$12</c:f>
              <c:numCache>
                <c:formatCode>General</c:formatCode>
                <c:ptCount val="1"/>
                <c:pt idx="0">
                  <c:v>2.5286825829311656E-2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E7-4462-AB82-7DCAA0AADC37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Resultados!$F$12</c:f>
              <c:numCache>
                <c:formatCode>General</c:formatCode>
                <c:ptCount val="1"/>
                <c:pt idx="0">
                  <c:v>7.8089796886116197E-2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E7-4462-AB82-7DCAA0AADC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Rendimiento sobre el</a:t>
            </a:r>
            <a:r>
              <a:rPr lang="en-US" baseline="0"/>
              <a:t> Capital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Resultados!$B$13</c:f>
              <c:numCache>
                <c:formatCode>General</c:formatCode>
                <c:ptCount val="1"/>
                <c:pt idx="0">
                  <c:v>3.1407929028244776E-2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8-4CA3-BA4F-13F9456BF917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Resultados!$C$13</c:f>
              <c:numCache>
                <c:formatCode>General</c:formatCode>
                <c:ptCount val="1"/>
                <c:pt idx="0">
                  <c:v>1.0720567687959543E-6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F8-4CA3-BA4F-13F9456BF917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Resultados!$D$13</c:f>
              <c:numCache>
                <c:formatCode>General</c:formatCode>
                <c:ptCount val="1"/>
                <c:pt idx="0">
                  <c:v>2.1194904538698867E-4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F8-4CA3-BA4F-13F9456BF917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Resultados!$E$13</c:f>
              <c:numCache>
                <c:formatCode>General</c:formatCode>
                <c:ptCount val="1"/>
                <c:pt idx="0">
                  <c:v>8.8861013901965519E-2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F8-4CA3-BA4F-13F9456BF917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Resultados!$F$13</c:f>
              <c:numCache>
                <c:formatCode>General</c:formatCode>
                <c:ptCount val="1"/>
                <c:pt idx="0">
                  <c:v>2.6812752500000001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8-4CA3-BA4F-13F9456BF9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Mejor Empresa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QUMMA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Resultados!$B$14</c:f>
              <c:numCache>
                <c:formatCode>General</c:formatCode>
                <c:ptCount val="1"/>
                <c:pt idx="0">
                  <c:v>689.40158917595863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0-4A03-9558-CF286BE8C0C7}"/>
            </c:ext>
          </c:extLst>
        </c:ser>
        <c:ser>
          <c:idx val="1"/>
          <c:order val="1"/>
          <c:tx>
            <c:v>América Móvil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Resultados!$C$14</c:f>
              <c:numCache>
                <c:formatCode>General</c:formatCode>
                <c:ptCount val="1"/>
                <c:pt idx="0">
                  <c:v>6.8204414644021085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0-4A03-9558-CF286BE8C0C7}"/>
            </c:ext>
          </c:extLst>
        </c:ser>
        <c:ser>
          <c:idx val="2"/>
          <c:order val="2"/>
          <c:tx>
            <c:v>izzi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Resultados!$D$14</c:f>
              <c:numCache>
                <c:formatCode>General</c:formatCode>
                <c:ptCount val="1"/>
                <c:pt idx="0">
                  <c:v>16403.272885603747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0-4A03-9558-CF286BE8C0C7}"/>
            </c:ext>
          </c:extLst>
        </c:ser>
        <c:ser>
          <c:idx val="3"/>
          <c:order val="3"/>
          <c:tx>
            <c:v>Axtel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Resultados!$E$14</c:f>
              <c:numCache>
                <c:formatCode>General</c:formatCode>
                <c:ptCount val="1"/>
                <c:pt idx="0">
                  <c:v>878.20329219055156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0-4A03-9558-CF286BE8C0C7}"/>
            </c:ext>
          </c:extLst>
        </c:ser>
        <c:ser>
          <c:idx val="4"/>
          <c:order val="4"/>
          <c:tx>
            <c:v>TV Azteca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Resultados!$F$14</c:f>
              <c:numCache>
                <c:formatCode>General</c:formatCode>
                <c:ptCount val="1"/>
                <c:pt idx="0">
                  <c:v>196.26353876246512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0-4A03-9558-CF286BE8C0C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1665904"/>
        <c:axId val="1131661744"/>
      </c:barChart>
      <c:catAx>
        <c:axId val="1131665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1744"/>
        <c:crosses val="autoZero"/>
        <c:auto val="1"/>
        <c:lblAlgn val="ctr"/>
        <c:lblOffset val="100"/>
        <c:noMultiLvlLbl val="0"/>
      </c:catAx>
      <c:valAx>
        <c:axId val="11316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166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https://upload.wikimedia.org/wikipedia/commons/thumb/f/f8/Logo_Instituto_Polit%C3%A9cnico_Nacional.png/1200px-Logo_Instituto_Polit%C3%A9cnico_Nacional.png" TargetMode="External"/><Relationship Id="rId1" Type="http://schemas.openxmlformats.org/officeDocument/2006/relationships/image" Target="../media/image1.png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5.png"/><Relationship Id="rId5" Type="http://schemas.openxmlformats.org/officeDocument/2006/relationships/image" Target="../media/image13.sv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6.png"/><Relationship Id="rId5" Type="http://schemas.openxmlformats.org/officeDocument/2006/relationships/image" Target="../media/image13.svg"/><Relationship Id="rId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7.png"/><Relationship Id="rId5" Type="http://schemas.openxmlformats.org/officeDocument/2006/relationships/image" Target="../media/image13.svg"/><Relationship Id="rId4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8.png"/><Relationship Id="rId5" Type="http://schemas.openxmlformats.org/officeDocument/2006/relationships/image" Target="../media/image13.svg"/><Relationship Id="rId4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svg"/><Relationship Id="rId4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609600</xdr:colOff>
      <xdr:row>0</xdr:row>
      <xdr:rowOff>66675</xdr:rowOff>
    </xdr:from>
    <xdr:to>
      <xdr:col>6</xdr:col>
      <xdr:colOff>165600</xdr:colOff>
      <xdr:row>5</xdr:row>
      <xdr:rowOff>51300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3B1696D-67A7-49F8-90C9-A7D95C3BC80D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500" r="20000"/>
        <a:stretch>
          <a:fillRect/>
        </a:stretch>
      </xdr:blipFill>
      <xdr:spPr bwMode="auto">
        <a:xfrm>
          <a:off x="3657600" y="66675"/>
          <a:ext cx="1080000" cy="1080000"/>
        </a:xfrm>
        <a:prstGeom prst="rect">
          <a:avLst/>
        </a:prstGeom>
        <a:noFill/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152400</xdr:colOff>
      <xdr:row>0</xdr:row>
      <xdr:rowOff>142875</xdr:rowOff>
    </xdr:from>
    <xdr:to>
      <xdr:col>11</xdr:col>
      <xdr:colOff>617941</xdr:colOff>
      <xdr:row>4</xdr:row>
      <xdr:rowOff>212100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31B682-A952-46A1-ACFC-011478975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2400" y="142875"/>
          <a:ext cx="1227541" cy="936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9</xdr:col>
      <xdr:colOff>704850</xdr:colOff>
      <xdr:row>7</xdr:row>
      <xdr:rowOff>123825</xdr:rowOff>
    </xdr:from>
    <xdr:to>
      <xdr:col>13</xdr:col>
      <xdr:colOff>191352</xdr:colOff>
      <xdr:row>15</xdr:row>
      <xdr:rowOff>171225</xdr:rowOff>
    </xdr:to>
    <xdr:pic>
      <xdr:nvPicPr>
        <xdr:cNvPr id="13" name="Imagen 12" descr="Resultado de imagen para empresas industriales ejemplos | Infografia  diseño, Imagenes animadas, Ilustraciones planas">
          <a:extLst>
            <a:ext uri="{FF2B5EF4-FFF2-40B4-BE49-F238E27FC236}">
              <a16:creationId xmlns:a16="http://schemas.microsoft.com/office/drawing/2014/main" id="{CAF96DFB-0B68-475F-9529-334246241B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62850" y="1666875"/>
          <a:ext cx="2534502" cy="1800000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193195</xdr:colOff>
      <xdr:row>6</xdr:row>
      <xdr:rowOff>6830</xdr:rowOff>
    </xdr:from>
    <xdr:to>
      <xdr:col>6</xdr:col>
      <xdr:colOff>109195</xdr:colOff>
      <xdr:row>16</xdr:row>
      <xdr:rowOff>166345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2D0AAF3-6A66-4B68-9F00-4AD1F9172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9948" b="89791" l="7668" r="97284">
                      <a14:foregroundMark x1="20447" y1="22513" x2="20447" y2="22513"/>
                      <a14:foregroundMark x1="7668" y1="26440" x2="7668" y2="26440"/>
                      <a14:foregroundMark x1="28914" y1="40052" x2="28914" y2="40052"/>
                      <a14:foregroundMark x1="37380" y1="35864" x2="37380" y2="35864"/>
                      <a14:foregroundMark x1="28914" y1="35864" x2="28914" y2="35864"/>
                      <a14:foregroundMark x1="27157" y1="34817" x2="27157" y2="34817"/>
                      <a14:foregroundMark x1="52077" y1="12565" x2="52077" y2="12565"/>
                      <a14:foregroundMark x1="81470" y1="15969" x2="81470" y2="15969"/>
                      <a14:foregroundMark x1="65335" y1="20681" x2="65335" y2="20681"/>
                      <a14:foregroundMark x1="94089" y1="33246" x2="94089" y2="33246"/>
                      <a14:foregroundMark x1="97284" y1="35340" x2="97284" y2="35340"/>
                      <a14:foregroundMark x1="75879" y1="12565" x2="75879" y2="12565"/>
                      <a14:foregroundMark x1="58466" y1="11780" x2="58466" y2="11780"/>
                      <a14:foregroundMark x1="58307" y1="12565" x2="58307" y2="12565"/>
                      <a14:foregroundMark x1="77955" y1="44241" x2="77955" y2="44241"/>
                      <a14:foregroundMark x1="69329" y1="34555" x2="69329" y2="34555"/>
                      <a14:foregroundMark x1="84984" y1="81675" x2="84984" y2="81675"/>
                      <a14:foregroundMark x1="45847" y1="80366" x2="45847" y2="80366"/>
                      <a14:foregroundMark x1="18690" y1="78796" x2="18690" y2="78796"/>
                      <a14:backgroundMark x1="58466" y1="11518" x2="58466" y2="11518"/>
                      <a14:backgroundMark x1="58307" y1="12042" x2="58307" y2="1204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81300" y="1790700"/>
          <a:ext cx="2359790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228600</xdr:colOff>
      <xdr:row>17</xdr:row>
      <xdr:rowOff>0</xdr:rowOff>
    </xdr:from>
    <xdr:to>
      <xdr:col>8</xdr:col>
      <xdr:colOff>546600</xdr:colOff>
      <xdr:row>18</xdr:row>
      <xdr:rowOff>169500</xdr:rowOff>
    </xdr:to>
    <xdr:sp macro="[0]!Menú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705163B6-2AB2-4DAD-95BD-4855EBC731C9}"/>
            </a:ext>
          </a:extLst>
        </xdr:cNvPr>
        <xdr:cNvSpPr/>
      </xdr:nvSpPr>
      <xdr:spPr>
        <a:xfrm>
          <a:off x="5562600" y="3714750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oneCellAnchor>
    <xdr:from>
      <xdr:col>7</xdr:col>
      <xdr:colOff>428625</xdr:colOff>
      <xdr:row>17</xdr:row>
      <xdr:rowOff>38100</xdr:rowOff>
    </xdr:from>
    <xdr:ext cx="666750" cy="264560"/>
    <xdr:sp macro="[0]!Menú" textlink="">
      <xdr:nvSpPr>
        <xdr:cNvPr id="16" name="CuadroTexto 15">
          <a:extLst>
            <a:ext uri="{FF2B5EF4-FFF2-40B4-BE49-F238E27FC236}">
              <a16:creationId xmlns:a16="http://schemas.microsoft.com/office/drawing/2014/main" id="{E85A3F02-E415-415B-A41C-20A4BBB133A1}"/>
            </a:ext>
          </a:extLst>
        </xdr:cNvPr>
        <xdr:cNvSpPr txBox="1"/>
      </xdr:nvSpPr>
      <xdr:spPr>
        <a:xfrm>
          <a:off x="5762625" y="3752850"/>
          <a:ext cx="6667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MX" sz="1100" b="1">
              <a:solidFill>
                <a:schemeClr val="bg1"/>
              </a:solidFill>
            </a:rPr>
            <a:t>MENÚ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494880</xdr:colOff>
      <xdr:row>7</xdr:row>
      <xdr:rowOff>95250</xdr:rowOff>
    </xdr:from>
    <xdr:to>
      <xdr:col>4</xdr:col>
      <xdr:colOff>105517</xdr:colOff>
      <xdr:row>11</xdr:row>
      <xdr:rowOff>190289</xdr:rowOff>
    </xdr:to>
    <xdr:pic>
      <xdr:nvPicPr>
        <xdr:cNvPr id="2" name="Imagen 1" descr="América Móvil, S.A.B de C.V. (América Móvil) - BNamericas">
          <a:extLst>
            <a:ext uri="{FF2B5EF4-FFF2-40B4-BE49-F238E27FC236}">
              <a16:creationId xmlns:a16="http://schemas.microsoft.com/office/drawing/2014/main" id="{023F62EB-1435-4D40-B33E-B4453FD735C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221" b="29092"/>
        <a:stretch/>
      </xdr:blipFill>
      <xdr:spPr bwMode="auto">
        <a:xfrm>
          <a:off x="1256880" y="1428750"/>
          <a:ext cx="1896637" cy="857039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685800</xdr:colOff>
      <xdr:row>6</xdr:row>
      <xdr:rowOff>142875</xdr:rowOff>
    </xdr:from>
    <xdr:to>
      <xdr:col>7</xdr:col>
      <xdr:colOff>337800</xdr:colOff>
      <xdr:row>12</xdr:row>
      <xdr:rowOff>79875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4A44D12-BAFC-401F-BBB5-CCA65F910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1800" y="1343025"/>
          <a:ext cx="2700000" cy="1080000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38100</xdr:colOff>
      <xdr:row>7</xdr:row>
      <xdr:rowOff>161925</xdr:rowOff>
    </xdr:from>
    <xdr:to>
      <xdr:col>9</xdr:col>
      <xdr:colOff>520655</xdr:colOff>
      <xdr:row>11</xdr:row>
      <xdr:rowOff>119925</xdr:rowOff>
    </xdr:to>
    <xdr:pic>
      <xdr:nvPicPr>
        <xdr:cNvPr id="4" name="Imagen 3" descr="GRUPO QUMMA, S.A. DE C.V.">
          <a:extLst>
            <a:ext uri="{FF2B5EF4-FFF2-40B4-BE49-F238E27FC236}">
              <a16:creationId xmlns:a16="http://schemas.microsoft.com/office/drawing/2014/main" id="{194B89CD-B5E3-4692-AEA1-A274CE9A9E3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800" t="21000" r="17200" b="18000"/>
        <a:stretch/>
      </xdr:blipFill>
      <xdr:spPr bwMode="auto">
        <a:xfrm>
          <a:off x="5372100" y="1552575"/>
          <a:ext cx="2006555" cy="7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657225</xdr:colOff>
      <xdr:row>5</xdr:row>
      <xdr:rowOff>142875</xdr:rowOff>
    </xdr:from>
    <xdr:to>
      <xdr:col>11</xdr:col>
      <xdr:colOff>581161</xdr:colOff>
      <xdr:row>11</xdr:row>
      <xdr:rowOff>7875</xdr:rowOff>
    </xdr:to>
    <xdr:pic>
      <xdr:nvPicPr>
        <xdr:cNvPr id="5" name="Imagen 4" descr="TV Azteca - Wikipedia, la enciclopedia libre">
          <a:extLst>
            <a:ext uri="{FF2B5EF4-FFF2-40B4-BE49-F238E27FC236}">
              <a16:creationId xmlns:a16="http://schemas.microsoft.com/office/drawing/2014/main" id="{196A0398-407C-4C9C-B9CC-40991BE453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5225" y="1152525"/>
          <a:ext cx="1447936" cy="1008000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47625</xdr:colOff>
      <xdr:row>6</xdr:row>
      <xdr:rowOff>142875</xdr:rowOff>
    </xdr:from>
    <xdr:to>
      <xdr:col>14</xdr:col>
      <xdr:colOff>453091</xdr:colOff>
      <xdr:row>12</xdr:row>
      <xdr:rowOff>7875</xdr:rowOff>
    </xdr:to>
    <xdr:pic>
      <xdr:nvPicPr>
        <xdr:cNvPr id="6" name="Imagen 5" descr="▷Axtel | Paquetes de Internet y TV, teléfonos de atención y más!">
          <a:extLst>
            <a:ext uri="{FF2B5EF4-FFF2-40B4-BE49-F238E27FC236}">
              <a16:creationId xmlns:a16="http://schemas.microsoft.com/office/drawing/2014/main" id="{8F5487B4-6E1F-484E-9DC4-E96BAE094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1625" y="1343025"/>
          <a:ext cx="1929466" cy="1008000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190500</xdr:colOff>
      <xdr:row>12</xdr:row>
      <xdr:rowOff>104775</xdr:rowOff>
    </xdr:from>
    <xdr:to>
      <xdr:col>3</xdr:col>
      <xdr:colOff>406908</xdr:colOff>
      <xdr:row>15</xdr:row>
      <xdr:rowOff>17907</xdr:rowOff>
    </xdr:to>
    <xdr:sp macro="[0]!AmericaMovil" textlink="">
      <xdr:nvSpPr>
        <xdr:cNvPr id="7" name="Flecha: a la derecha 6">
          <a:extLst>
            <a:ext uri="{FF2B5EF4-FFF2-40B4-BE49-F238E27FC236}">
              <a16:creationId xmlns:a16="http://schemas.microsoft.com/office/drawing/2014/main" id="{3DBEDAC9-3DDE-4ED6-9C2A-99F0B951A191}"/>
            </a:ext>
          </a:extLst>
        </xdr:cNvPr>
        <xdr:cNvSpPr/>
      </xdr:nvSpPr>
      <xdr:spPr>
        <a:xfrm>
          <a:off x="1714500" y="2447925"/>
          <a:ext cx="978408" cy="484632"/>
        </a:xfrm>
        <a:prstGeom prst="rightArrow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INICIAR</a:t>
          </a:r>
        </a:p>
      </xdr:txBody>
    </xdr:sp>
    <xdr:clientData/>
  </xdr:twoCellAnchor>
  <xdr:twoCellAnchor>
    <xdr:from>
      <xdr:col>5</xdr:col>
      <xdr:colOff>19050</xdr:colOff>
      <xdr:row>12</xdr:row>
      <xdr:rowOff>95250</xdr:rowOff>
    </xdr:from>
    <xdr:to>
      <xdr:col>6</xdr:col>
      <xdr:colOff>235458</xdr:colOff>
      <xdr:row>15</xdr:row>
      <xdr:rowOff>8382</xdr:rowOff>
    </xdr:to>
    <xdr:sp macro="[0]!IZZI" textlink="">
      <xdr:nvSpPr>
        <xdr:cNvPr id="8" name="Flecha: a la derecha 7">
          <a:extLst>
            <a:ext uri="{FF2B5EF4-FFF2-40B4-BE49-F238E27FC236}">
              <a16:creationId xmlns:a16="http://schemas.microsoft.com/office/drawing/2014/main" id="{E47949D4-BBBF-4A64-84ED-16C9A3A50FB1}"/>
            </a:ext>
          </a:extLst>
        </xdr:cNvPr>
        <xdr:cNvSpPr/>
      </xdr:nvSpPr>
      <xdr:spPr>
        <a:xfrm>
          <a:off x="3829050" y="2438400"/>
          <a:ext cx="978408" cy="484632"/>
        </a:xfrm>
        <a:prstGeom prst="rightArrow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INICIAR</a:t>
          </a:r>
        </a:p>
      </xdr:txBody>
    </xdr:sp>
    <xdr:clientData/>
  </xdr:twoCellAnchor>
  <xdr:twoCellAnchor>
    <xdr:from>
      <xdr:col>7</xdr:col>
      <xdr:colOff>552450</xdr:colOff>
      <xdr:row>12</xdr:row>
      <xdr:rowOff>95250</xdr:rowOff>
    </xdr:from>
    <xdr:to>
      <xdr:col>9</xdr:col>
      <xdr:colOff>6858</xdr:colOff>
      <xdr:row>15</xdr:row>
      <xdr:rowOff>8382</xdr:rowOff>
    </xdr:to>
    <xdr:sp macro="[0]!QUMMA" textlink="">
      <xdr:nvSpPr>
        <xdr:cNvPr id="9" name="Flecha: a la derecha 8">
          <a:extLst>
            <a:ext uri="{FF2B5EF4-FFF2-40B4-BE49-F238E27FC236}">
              <a16:creationId xmlns:a16="http://schemas.microsoft.com/office/drawing/2014/main" id="{32976D71-5AA1-4064-B9E6-D41A0B86F3F3}"/>
            </a:ext>
          </a:extLst>
        </xdr:cNvPr>
        <xdr:cNvSpPr/>
      </xdr:nvSpPr>
      <xdr:spPr>
        <a:xfrm>
          <a:off x="5886450" y="2438400"/>
          <a:ext cx="978408" cy="484632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60000"/>
              <a:lumOff val="4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INICIAR</a:t>
          </a:r>
        </a:p>
      </xdr:txBody>
    </xdr:sp>
    <xdr:clientData/>
  </xdr:twoCellAnchor>
  <xdr:twoCellAnchor>
    <xdr:from>
      <xdr:col>12</xdr:col>
      <xdr:colOff>514350</xdr:colOff>
      <xdr:row>12</xdr:row>
      <xdr:rowOff>85725</xdr:rowOff>
    </xdr:from>
    <xdr:to>
      <xdr:col>13</xdr:col>
      <xdr:colOff>730758</xdr:colOff>
      <xdr:row>14</xdr:row>
      <xdr:rowOff>189357</xdr:rowOff>
    </xdr:to>
    <xdr:sp macro="[0]!Axtel" textlink="">
      <xdr:nvSpPr>
        <xdr:cNvPr id="10" name="Flecha: a la derecha 9">
          <a:extLst>
            <a:ext uri="{FF2B5EF4-FFF2-40B4-BE49-F238E27FC236}">
              <a16:creationId xmlns:a16="http://schemas.microsoft.com/office/drawing/2014/main" id="{BAEE208A-8090-4B21-AD74-3862B7E14601}"/>
            </a:ext>
          </a:extLst>
        </xdr:cNvPr>
        <xdr:cNvSpPr/>
      </xdr:nvSpPr>
      <xdr:spPr>
        <a:xfrm>
          <a:off x="9658350" y="2428875"/>
          <a:ext cx="978408" cy="484632"/>
        </a:xfrm>
        <a:prstGeom prst="rightArrow">
          <a:avLst/>
        </a:prstGeom>
        <a:solidFill>
          <a:srgbClr val="C00000"/>
        </a:solidFill>
        <a:ln>
          <a:solidFill>
            <a:srgbClr val="C00000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INICIAR</a:t>
          </a:r>
        </a:p>
      </xdr:txBody>
    </xdr:sp>
    <xdr:clientData/>
  </xdr:twoCellAnchor>
  <xdr:twoCellAnchor>
    <xdr:from>
      <xdr:col>10</xdr:col>
      <xdr:colOff>133350</xdr:colOff>
      <xdr:row>12</xdr:row>
      <xdr:rowOff>85725</xdr:rowOff>
    </xdr:from>
    <xdr:to>
      <xdr:col>11</xdr:col>
      <xdr:colOff>349758</xdr:colOff>
      <xdr:row>14</xdr:row>
      <xdr:rowOff>189357</xdr:rowOff>
    </xdr:to>
    <xdr:sp macro="[0]!TVAzteca" textlink="">
      <xdr:nvSpPr>
        <xdr:cNvPr id="11" name="Flecha: a la derecha 10">
          <a:extLst>
            <a:ext uri="{FF2B5EF4-FFF2-40B4-BE49-F238E27FC236}">
              <a16:creationId xmlns:a16="http://schemas.microsoft.com/office/drawing/2014/main" id="{D508DDED-0F48-4F03-BFBA-7451AA9E72E5}"/>
            </a:ext>
          </a:extLst>
        </xdr:cNvPr>
        <xdr:cNvSpPr/>
      </xdr:nvSpPr>
      <xdr:spPr>
        <a:xfrm>
          <a:off x="7753350" y="2428875"/>
          <a:ext cx="978408" cy="484632"/>
        </a:xfrm>
        <a:prstGeom prst="rightArrow">
          <a:avLst/>
        </a:prstGeom>
        <a:solidFill>
          <a:schemeClr val="accent6"/>
        </a:solidFill>
        <a:ln>
          <a:solidFill>
            <a:schemeClr val="accent6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INICIAR</a:t>
          </a:r>
        </a:p>
      </xdr:txBody>
    </xdr:sp>
    <xdr:clientData/>
  </xdr:twoCellAnchor>
  <xdr:twoCellAnchor>
    <xdr:from>
      <xdr:col>7</xdr:col>
      <xdr:colOff>228600</xdr:colOff>
      <xdr:row>19</xdr:row>
      <xdr:rowOff>19050</xdr:rowOff>
    </xdr:from>
    <xdr:to>
      <xdr:col>8</xdr:col>
      <xdr:colOff>546600</xdr:colOff>
      <xdr:row>20</xdr:row>
      <xdr:rowOff>188550</xdr:rowOff>
    </xdr:to>
    <xdr:sp macro="[0]!Inicio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ED0478AB-6E3C-4209-A21D-2CFD829BD0D4}"/>
            </a:ext>
          </a:extLst>
        </xdr:cNvPr>
        <xdr:cNvSpPr/>
      </xdr:nvSpPr>
      <xdr:spPr>
        <a:xfrm>
          <a:off x="5562600" y="3695700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oneCellAnchor>
    <xdr:from>
      <xdr:col>7</xdr:col>
      <xdr:colOff>428625</xdr:colOff>
      <xdr:row>19</xdr:row>
      <xdr:rowOff>57150</xdr:rowOff>
    </xdr:from>
    <xdr:ext cx="666750" cy="264560"/>
    <xdr:sp macro="[0]!Inicio" textlink="">
      <xdr:nvSpPr>
        <xdr:cNvPr id="15" name="CuadroTexto 14">
          <a:extLst>
            <a:ext uri="{FF2B5EF4-FFF2-40B4-BE49-F238E27FC236}">
              <a16:creationId xmlns:a16="http://schemas.microsoft.com/office/drawing/2014/main" id="{46F7CA4E-D0D2-4B88-B529-FB167B2329F5}"/>
            </a:ext>
          </a:extLst>
        </xdr:cNvPr>
        <xdr:cNvSpPr txBox="1"/>
      </xdr:nvSpPr>
      <xdr:spPr>
        <a:xfrm>
          <a:off x="5762625" y="3733800"/>
          <a:ext cx="6667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MX" sz="1100" b="1">
              <a:solidFill>
                <a:schemeClr val="bg1"/>
              </a:solidFill>
            </a:rPr>
            <a:t>INICIO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19</xdr:row>
      <xdr:rowOff>57150</xdr:rowOff>
    </xdr:from>
    <xdr:to>
      <xdr:col>8</xdr:col>
      <xdr:colOff>546600</xdr:colOff>
      <xdr:row>21</xdr:row>
      <xdr:rowOff>36150</xdr:rowOff>
    </xdr:to>
    <xdr:sp macro="[0]!Menú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1EE23FC-BEB9-43C6-BDEC-5CD5A65ECF51}"/>
            </a:ext>
          </a:extLst>
        </xdr:cNvPr>
        <xdr:cNvSpPr/>
      </xdr:nvSpPr>
      <xdr:spPr>
        <a:xfrm>
          <a:off x="5562600" y="3695700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oneCellAnchor>
    <xdr:from>
      <xdr:col>7</xdr:col>
      <xdr:colOff>428625</xdr:colOff>
      <xdr:row>19</xdr:row>
      <xdr:rowOff>95250</xdr:rowOff>
    </xdr:from>
    <xdr:ext cx="666750" cy="264560"/>
    <xdr:sp macro="[0]!Menú" textlink="">
      <xdr:nvSpPr>
        <xdr:cNvPr id="7" name="CuadroTexto 6">
          <a:extLst>
            <a:ext uri="{FF2B5EF4-FFF2-40B4-BE49-F238E27FC236}">
              <a16:creationId xmlns:a16="http://schemas.microsoft.com/office/drawing/2014/main" id="{8367BC88-84F4-48C6-BAB7-3624F39A962D}"/>
            </a:ext>
          </a:extLst>
        </xdr:cNvPr>
        <xdr:cNvSpPr txBox="1"/>
      </xdr:nvSpPr>
      <xdr:spPr>
        <a:xfrm>
          <a:off x="5762625" y="3733800"/>
          <a:ext cx="6667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MX" sz="1100" b="1">
              <a:solidFill>
                <a:schemeClr val="bg1"/>
              </a:solidFill>
            </a:rPr>
            <a:t>MENÚ</a:t>
          </a:r>
        </a:p>
      </xdr:txBody>
    </xdr:sp>
    <xdr:clientData/>
  </xdr:oneCellAnchor>
  <xdr:twoCellAnchor editAs="oneCell">
    <xdr:from>
      <xdr:col>6</xdr:col>
      <xdr:colOff>581025</xdr:colOff>
      <xdr:row>1</xdr:row>
      <xdr:rowOff>0</xdr:rowOff>
    </xdr:from>
    <xdr:to>
      <xdr:col>9</xdr:col>
      <xdr:colOff>191662</xdr:colOff>
      <xdr:row>5</xdr:row>
      <xdr:rowOff>95039</xdr:rowOff>
    </xdr:to>
    <xdr:pic>
      <xdr:nvPicPr>
        <xdr:cNvPr id="8" name="Imagen 7" descr="América Móvil, S.A.B de C.V. (América Móvil) - BNamericas">
          <a:extLst>
            <a:ext uri="{FF2B5EF4-FFF2-40B4-BE49-F238E27FC236}">
              <a16:creationId xmlns:a16="http://schemas.microsoft.com/office/drawing/2014/main" id="{273BB0B1-594A-4643-A1A6-54B2FE41CC8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221" b="29092"/>
        <a:stretch/>
      </xdr:blipFill>
      <xdr:spPr bwMode="auto">
        <a:xfrm>
          <a:off x="5153025" y="190500"/>
          <a:ext cx="1896637" cy="857039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19050</xdr:colOff>
      <xdr:row>6</xdr:row>
      <xdr:rowOff>57150</xdr:rowOff>
    </xdr:from>
    <xdr:to>
      <xdr:col>10</xdr:col>
      <xdr:colOff>739050</xdr:colOff>
      <xdr:row>9</xdr:row>
      <xdr:rowOff>186600</xdr:rowOff>
    </xdr:to>
    <xdr:pic macro="[0]!Datos1">
      <xdr:nvPicPr>
        <xdr:cNvPr id="22" name="Gráfico 21">
          <a:extLst>
            <a:ext uri="{FF2B5EF4-FFF2-40B4-BE49-F238E27FC236}">
              <a16:creationId xmlns:a16="http://schemas.microsoft.com/office/drawing/2014/main" id="{1541733E-8BB0-434E-95DC-46D1AADA4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39050" y="1200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11</xdr:row>
      <xdr:rowOff>66675</xdr:rowOff>
    </xdr:from>
    <xdr:to>
      <xdr:col>10</xdr:col>
      <xdr:colOff>722100</xdr:colOff>
      <xdr:row>14</xdr:row>
      <xdr:rowOff>179175</xdr:rowOff>
    </xdr:to>
    <xdr:pic macro="[0]!Resultados">
      <xdr:nvPicPr>
        <xdr:cNvPr id="3" name="Gráfico 2">
          <a:extLst>
            <a:ext uri="{FF2B5EF4-FFF2-40B4-BE49-F238E27FC236}">
              <a16:creationId xmlns:a16="http://schemas.microsoft.com/office/drawing/2014/main" id="{DF79918F-6FA9-4B6C-BD08-0551941323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658100" y="2181225"/>
          <a:ext cx="684000" cy="68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714375</xdr:colOff>
      <xdr:row>16</xdr:row>
      <xdr:rowOff>0</xdr:rowOff>
    </xdr:from>
    <xdr:to>
      <xdr:col>7</xdr:col>
      <xdr:colOff>92583</xdr:colOff>
      <xdr:row>18</xdr:row>
      <xdr:rowOff>122682</xdr:rowOff>
    </xdr:to>
    <xdr:sp macro="[0]!AmericaMovil" textlink="">
      <xdr:nvSpPr>
        <xdr:cNvPr id="4" name="Flecha: a la derecha 3">
          <a:extLst>
            <a:ext uri="{FF2B5EF4-FFF2-40B4-BE49-F238E27FC236}">
              <a16:creationId xmlns:a16="http://schemas.microsoft.com/office/drawing/2014/main" id="{55B6243C-E504-4589-8CB5-AF5491FE9EE9}"/>
            </a:ext>
          </a:extLst>
        </xdr:cNvPr>
        <xdr:cNvSpPr/>
      </xdr:nvSpPr>
      <xdr:spPr>
        <a:xfrm flipH="1">
          <a:off x="10334625" y="2905125"/>
          <a:ext cx="978408" cy="484632"/>
        </a:xfrm>
        <a:prstGeom prst="rightArrow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Regresar</a:t>
          </a:r>
        </a:p>
      </xdr:txBody>
    </xdr:sp>
    <xdr:clientData/>
  </xdr:twoCellAnchor>
  <xdr:twoCellAnchor editAs="oneCell">
    <xdr:from>
      <xdr:col>6</xdr:col>
      <xdr:colOff>38100</xdr:colOff>
      <xdr:row>9</xdr:row>
      <xdr:rowOff>0</xdr:rowOff>
    </xdr:from>
    <xdr:to>
      <xdr:col>6</xdr:col>
      <xdr:colOff>758100</xdr:colOff>
      <xdr:row>12</xdr:row>
      <xdr:rowOff>177075</xdr:rowOff>
    </xdr:to>
    <xdr:pic macro="[0]!DF_1">
      <xdr:nvPicPr>
        <xdr:cNvPr id="16" name="Gráfico 15">
          <a:extLst>
            <a:ext uri="{FF2B5EF4-FFF2-40B4-BE49-F238E27FC236}">
              <a16:creationId xmlns:a16="http://schemas.microsoft.com/office/drawing/2014/main" id="{98A4A825-883D-472C-84B7-6608D17D3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1628775"/>
          <a:ext cx="720000" cy="72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19</xdr:row>
      <xdr:rowOff>57150</xdr:rowOff>
    </xdr:from>
    <xdr:to>
      <xdr:col>8</xdr:col>
      <xdr:colOff>546600</xdr:colOff>
      <xdr:row>21</xdr:row>
      <xdr:rowOff>36150</xdr:rowOff>
    </xdr:to>
    <xdr:sp macro="[0]!Menú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528DA72-12E0-4ACF-B2EF-A6FCA4DA23E3}"/>
            </a:ext>
          </a:extLst>
        </xdr:cNvPr>
        <xdr:cNvSpPr/>
      </xdr:nvSpPr>
      <xdr:spPr>
        <a:xfrm>
          <a:off x="5562600" y="3695700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oneCellAnchor>
    <xdr:from>
      <xdr:col>7</xdr:col>
      <xdr:colOff>428625</xdr:colOff>
      <xdr:row>19</xdr:row>
      <xdr:rowOff>95250</xdr:rowOff>
    </xdr:from>
    <xdr:ext cx="666750" cy="264560"/>
    <xdr:sp macro="[0]!Menú" textlink="">
      <xdr:nvSpPr>
        <xdr:cNvPr id="3" name="CuadroTexto 2">
          <a:extLst>
            <a:ext uri="{FF2B5EF4-FFF2-40B4-BE49-F238E27FC236}">
              <a16:creationId xmlns:a16="http://schemas.microsoft.com/office/drawing/2014/main" id="{A419634F-1BB6-4B30-A497-1F66B282D1EB}"/>
            </a:ext>
          </a:extLst>
        </xdr:cNvPr>
        <xdr:cNvSpPr txBox="1"/>
      </xdr:nvSpPr>
      <xdr:spPr>
        <a:xfrm>
          <a:off x="5762625" y="3733800"/>
          <a:ext cx="6667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MX" sz="1100" b="1">
              <a:solidFill>
                <a:schemeClr val="bg1"/>
              </a:solidFill>
            </a:rPr>
            <a:t>MENÚ</a:t>
          </a:r>
        </a:p>
      </xdr:txBody>
    </xdr:sp>
    <xdr:clientData/>
  </xdr:oneCellAnchor>
  <xdr:twoCellAnchor editAs="oneCell">
    <xdr:from>
      <xdr:col>6</xdr:col>
      <xdr:colOff>180975</xdr:colOff>
      <xdr:row>1</xdr:row>
      <xdr:rowOff>0</xdr:rowOff>
    </xdr:from>
    <xdr:to>
      <xdr:col>9</xdr:col>
      <xdr:colOff>594975</xdr:colOff>
      <xdr:row>6</xdr:row>
      <xdr:rowOff>66675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59D749D-F4DC-43A6-8A25-7C4613087B0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32"/>
        <a:stretch/>
      </xdr:blipFill>
      <xdr:spPr bwMode="auto">
        <a:xfrm>
          <a:off x="4752975" y="190500"/>
          <a:ext cx="2700000" cy="1019175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19050</xdr:colOff>
      <xdr:row>6</xdr:row>
      <xdr:rowOff>57150</xdr:rowOff>
    </xdr:from>
    <xdr:to>
      <xdr:col>10</xdr:col>
      <xdr:colOff>739050</xdr:colOff>
      <xdr:row>9</xdr:row>
      <xdr:rowOff>186600</xdr:rowOff>
    </xdr:to>
    <xdr:pic macro="[0]!Datos2">
      <xdr:nvPicPr>
        <xdr:cNvPr id="16" name="Gráfico 15">
          <a:extLst>
            <a:ext uri="{FF2B5EF4-FFF2-40B4-BE49-F238E27FC236}">
              <a16:creationId xmlns:a16="http://schemas.microsoft.com/office/drawing/2014/main" id="{5A3793B0-B35E-4A26-B960-E50C56CA5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39050" y="1200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11</xdr:row>
      <xdr:rowOff>66675</xdr:rowOff>
    </xdr:from>
    <xdr:to>
      <xdr:col>10</xdr:col>
      <xdr:colOff>722100</xdr:colOff>
      <xdr:row>14</xdr:row>
      <xdr:rowOff>179175</xdr:rowOff>
    </xdr:to>
    <xdr:pic macro="[0]!Resultados">
      <xdr:nvPicPr>
        <xdr:cNvPr id="18" name="Gráfico 17">
          <a:extLst>
            <a:ext uri="{FF2B5EF4-FFF2-40B4-BE49-F238E27FC236}">
              <a16:creationId xmlns:a16="http://schemas.microsoft.com/office/drawing/2014/main" id="{1357A6FE-136A-40EA-A49D-6A05929B8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658100" y="2181225"/>
          <a:ext cx="684000" cy="68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714375</xdr:colOff>
      <xdr:row>16</xdr:row>
      <xdr:rowOff>9525</xdr:rowOff>
    </xdr:from>
    <xdr:to>
      <xdr:col>7</xdr:col>
      <xdr:colOff>92583</xdr:colOff>
      <xdr:row>18</xdr:row>
      <xdr:rowOff>132207</xdr:rowOff>
    </xdr:to>
    <xdr:sp macro="[0]!IZZI" textlink="">
      <xdr:nvSpPr>
        <xdr:cNvPr id="4" name="Flecha: a la derecha 3">
          <a:extLst>
            <a:ext uri="{FF2B5EF4-FFF2-40B4-BE49-F238E27FC236}">
              <a16:creationId xmlns:a16="http://schemas.microsoft.com/office/drawing/2014/main" id="{87BB048A-536B-46EE-8C96-F09682C5F6C5}"/>
            </a:ext>
          </a:extLst>
        </xdr:cNvPr>
        <xdr:cNvSpPr/>
      </xdr:nvSpPr>
      <xdr:spPr>
        <a:xfrm flipH="1">
          <a:off x="10153650" y="2914650"/>
          <a:ext cx="978408" cy="484632"/>
        </a:xfrm>
        <a:prstGeom prst="rightArrow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Regresar</a:t>
          </a:r>
        </a:p>
      </xdr:txBody>
    </xdr:sp>
    <xdr:clientData/>
  </xdr:twoCellAnchor>
  <xdr:twoCellAnchor editAs="oneCell">
    <xdr:from>
      <xdr:col>6</xdr:col>
      <xdr:colOff>38100</xdr:colOff>
      <xdr:row>9</xdr:row>
      <xdr:rowOff>0</xdr:rowOff>
    </xdr:from>
    <xdr:to>
      <xdr:col>6</xdr:col>
      <xdr:colOff>758100</xdr:colOff>
      <xdr:row>12</xdr:row>
      <xdr:rowOff>177075</xdr:rowOff>
    </xdr:to>
    <xdr:pic macro="[0]!DF_1">
      <xdr:nvPicPr>
        <xdr:cNvPr id="3" name="Gráfico 2">
          <a:extLst>
            <a:ext uri="{FF2B5EF4-FFF2-40B4-BE49-F238E27FC236}">
              <a16:creationId xmlns:a16="http://schemas.microsoft.com/office/drawing/2014/main" id="{95E4F524-850E-4F0F-9F86-71798998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77475" y="1628775"/>
          <a:ext cx="720000" cy="72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19</xdr:row>
      <xdr:rowOff>57150</xdr:rowOff>
    </xdr:from>
    <xdr:to>
      <xdr:col>8</xdr:col>
      <xdr:colOff>546600</xdr:colOff>
      <xdr:row>21</xdr:row>
      <xdr:rowOff>36150</xdr:rowOff>
    </xdr:to>
    <xdr:sp macro="[0]!Menú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32D2CD8-ECD4-417C-8592-03C6A4325AD9}"/>
            </a:ext>
          </a:extLst>
        </xdr:cNvPr>
        <xdr:cNvSpPr/>
      </xdr:nvSpPr>
      <xdr:spPr>
        <a:xfrm>
          <a:off x="5562600" y="3695700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oneCellAnchor>
    <xdr:from>
      <xdr:col>7</xdr:col>
      <xdr:colOff>428625</xdr:colOff>
      <xdr:row>19</xdr:row>
      <xdr:rowOff>95250</xdr:rowOff>
    </xdr:from>
    <xdr:ext cx="666750" cy="264560"/>
    <xdr:sp macro="[0]!Menú" textlink="">
      <xdr:nvSpPr>
        <xdr:cNvPr id="3" name="CuadroTexto 2">
          <a:extLst>
            <a:ext uri="{FF2B5EF4-FFF2-40B4-BE49-F238E27FC236}">
              <a16:creationId xmlns:a16="http://schemas.microsoft.com/office/drawing/2014/main" id="{B759DF29-CA69-490A-AEB0-3622A810E672}"/>
            </a:ext>
          </a:extLst>
        </xdr:cNvPr>
        <xdr:cNvSpPr txBox="1"/>
      </xdr:nvSpPr>
      <xdr:spPr>
        <a:xfrm>
          <a:off x="5762625" y="3733800"/>
          <a:ext cx="6667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MX" sz="1100" b="1">
              <a:solidFill>
                <a:schemeClr val="bg1"/>
              </a:solidFill>
            </a:rPr>
            <a:t>MENÚ</a:t>
          </a:r>
        </a:p>
      </xdr:txBody>
    </xdr:sp>
    <xdr:clientData/>
  </xdr:oneCellAnchor>
  <xdr:twoCellAnchor editAs="oneCell">
    <xdr:from>
      <xdr:col>6</xdr:col>
      <xdr:colOff>523875</xdr:colOff>
      <xdr:row>1</xdr:row>
      <xdr:rowOff>0</xdr:rowOff>
    </xdr:from>
    <xdr:to>
      <xdr:col>9</xdr:col>
      <xdr:colOff>244430</xdr:colOff>
      <xdr:row>4</xdr:row>
      <xdr:rowOff>148500</xdr:rowOff>
    </xdr:to>
    <xdr:pic>
      <xdr:nvPicPr>
        <xdr:cNvPr id="7" name="Imagen 6" descr="GRUPO QUMMA, S.A. DE C.V.">
          <a:extLst>
            <a:ext uri="{FF2B5EF4-FFF2-40B4-BE49-F238E27FC236}">
              <a16:creationId xmlns:a16="http://schemas.microsoft.com/office/drawing/2014/main" id="{F9AE1D82-F363-4773-ACA7-E50A82FEEAB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800" t="21000" r="17200" b="18000"/>
        <a:stretch/>
      </xdr:blipFill>
      <xdr:spPr bwMode="auto">
        <a:xfrm>
          <a:off x="5095875" y="190500"/>
          <a:ext cx="2006555" cy="7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19050</xdr:colOff>
      <xdr:row>6</xdr:row>
      <xdr:rowOff>57150</xdr:rowOff>
    </xdr:from>
    <xdr:to>
      <xdr:col>10</xdr:col>
      <xdr:colOff>739050</xdr:colOff>
      <xdr:row>9</xdr:row>
      <xdr:rowOff>186600</xdr:rowOff>
    </xdr:to>
    <xdr:pic macro="[0]!Datos3">
      <xdr:nvPicPr>
        <xdr:cNvPr id="10" name="Gráfico 9">
          <a:extLst>
            <a:ext uri="{FF2B5EF4-FFF2-40B4-BE49-F238E27FC236}">
              <a16:creationId xmlns:a16="http://schemas.microsoft.com/office/drawing/2014/main" id="{BC058CA9-B7B9-4458-B87D-DAF3C6D92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39050" y="1200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11</xdr:row>
      <xdr:rowOff>66675</xdr:rowOff>
    </xdr:from>
    <xdr:to>
      <xdr:col>10</xdr:col>
      <xdr:colOff>722100</xdr:colOff>
      <xdr:row>14</xdr:row>
      <xdr:rowOff>179175</xdr:rowOff>
    </xdr:to>
    <xdr:pic macro="[0]!Resultados">
      <xdr:nvPicPr>
        <xdr:cNvPr id="12" name="Gráfico 11">
          <a:extLst>
            <a:ext uri="{FF2B5EF4-FFF2-40B4-BE49-F238E27FC236}">
              <a16:creationId xmlns:a16="http://schemas.microsoft.com/office/drawing/2014/main" id="{AC3442FC-A5E3-47B2-B91A-826BD5A81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658100" y="2181225"/>
          <a:ext cx="684000" cy="68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9</xdr:row>
      <xdr:rowOff>0</xdr:rowOff>
    </xdr:from>
    <xdr:to>
      <xdr:col>6</xdr:col>
      <xdr:colOff>758100</xdr:colOff>
      <xdr:row>12</xdr:row>
      <xdr:rowOff>177075</xdr:rowOff>
    </xdr:to>
    <xdr:pic macro="[0]!DF_1">
      <xdr:nvPicPr>
        <xdr:cNvPr id="2" name="Gráfico 1">
          <a:extLst>
            <a:ext uri="{FF2B5EF4-FFF2-40B4-BE49-F238E27FC236}">
              <a16:creationId xmlns:a16="http://schemas.microsoft.com/office/drawing/2014/main" id="{9AB47FCF-FBCA-412D-BCD9-D25522B29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125075" y="1628775"/>
          <a:ext cx="720000" cy="720000"/>
        </a:xfrm>
        <a:prstGeom prst="rect">
          <a:avLst/>
        </a:prstGeom>
      </xdr:spPr>
    </xdr:pic>
    <xdr:clientData/>
  </xdr:twoCellAnchor>
  <xdr:twoCellAnchor>
    <xdr:from>
      <xdr:col>5</xdr:col>
      <xdr:colOff>714375</xdr:colOff>
      <xdr:row>16</xdr:row>
      <xdr:rowOff>19050</xdr:rowOff>
    </xdr:from>
    <xdr:to>
      <xdr:col>7</xdr:col>
      <xdr:colOff>92583</xdr:colOff>
      <xdr:row>18</xdr:row>
      <xdr:rowOff>141732</xdr:rowOff>
    </xdr:to>
    <xdr:sp macro="[0]!QUMMA" textlink="">
      <xdr:nvSpPr>
        <xdr:cNvPr id="4" name="Flecha: a la derecha 3">
          <a:extLst>
            <a:ext uri="{FF2B5EF4-FFF2-40B4-BE49-F238E27FC236}">
              <a16:creationId xmlns:a16="http://schemas.microsoft.com/office/drawing/2014/main" id="{3D37521B-78C7-41AA-901B-17D3AC6E6426}"/>
            </a:ext>
          </a:extLst>
        </xdr:cNvPr>
        <xdr:cNvSpPr/>
      </xdr:nvSpPr>
      <xdr:spPr>
        <a:xfrm flipH="1">
          <a:off x="10001250" y="2914650"/>
          <a:ext cx="978408" cy="484632"/>
        </a:xfrm>
        <a:prstGeom prst="rightArrow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Regresar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19</xdr:row>
      <xdr:rowOff>57150</xdr:rowOff>
    </xdr:from>
    <xdr:to>
      <xdr:col>8</xdr:col>
      <xdr:colOff>546600</xdr:colOff>
      <xdr:row>21</xdr:row>
      <xdr:rowOff>36150</xdr:rowOff>
    </xdr:to>
    <xdr:sp macro="[0]!Menú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152F8-FF2B-4496-B54C-9EC876EEFB21}"/>
            </a:ext>
          </a:extLst>
        </xdr:cNvPr>
        <xdr:cNvSpPr/>
      </xdr:nvSpPr>
      <xdr:spPr>
        <a:xfrm>
          <a:off x="5562600" y="3695700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oneCellAnchor>
    <xdr:from>
      <xdr:col>7</xdr:col>
      <xdr:colOff>428625</xdr:colOff>
      <xdr:row>19</xdr:row>
      <xdr:rowOff>95250</xdr:rowOff>
    </xdr:from>
    <xdr:ext cx="666750" cy="264560"/>
    <xdr:sp macro="[0]!Menú" textlink="">
      <xdr:nvSpPr>
        <xdr:cNvPr id="3" name="CuadroTexto 2">
          <a:extLst>
            <a:ext uri="{FF2B5EF4-FFF2-40B4-BE49-F238E27FC236}">
              <a16:creationId xmlns:a16="http://schemas.microsoft.com/office/drawing/2014/main" id="{38291ABE-BA29-4F2E-BC6D-1D32049F3F9B}"/>
            </a:ext>
          </a:extLst>
        </xdr:cNvPr>
        <xdr:cNvSpPr txBox="1"/>
      </xdr:nvSpPr>
      <xdr:spPr>
        <a:xfrm>
          <a:off x="5762625" y="3733800"/>
          <a:ext cx="6667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MX" sz="1100" b="1">
              <a:solidFill>
                <a:schemeClr val="bg1"/>
              </a:solidFill>
            </a:rPr>
            <a:t>MENÚ</a:t>
          </a:r>
        </a:p>
      </xdr:txBody>
    </xdr:sp>
    <xdr:clientData/>
  </xdr:oneCellAnchor>
  <xdr:twoCellAnchor editAs="oneCell">
    <xdr:from>
      <xdr:col>7</xdr:col>
      <xdr:colOff>38100</xdr:colOff>
      <xdr:row>1</xdr:row>
      <xdr:rowOff>0</xdr:rowOff>
    </xdr:from>
    <xdr:to>
      <xdr:col>8</xdr:col>
      <xdr:colOff>724036</xdr:colOff>
      <xdr:row>6</xdr:row>
      <xdr:rowOff>55500</xdr:rowOff>
    </xdr:to>
    <xdr:pic>
      <xdr:nvPicPr>
        <xdr:cNvPr id="5" name="Imagen 4" descr="TV Azteca - Wikipedia, la enciclopedia libre">
          <a:extLst>
            <a:ext uri="{FF2B5EF4-FFF2-40B4-BE49-F238E27FC236}">
              <a16:creationId xmlns:a16="http://schemas.microsoft.com/office/drawing/2014/main" id="{E8EF46DF-160D-4DDC-AE64-C7653BF0B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190500"/>
          <a:ext cx="1447936" cy="1008000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19050</xdr:colOff>
      <xdr:row>6</xdr:row>
      <xdr:rowOff>57150</xdr:rowOff>
    </xdr:from>
    <xdr:to>
      <xdr:col>10</xdr:col>
      <xdr:colOff>739050</xdr:colOff>
      <xdr:row>9</xdr:row>
      <xdr:rowOff>186600</xdr:rowOff>
    </xdr:to>
    <xdr:pic macro="[0]!Datos4">
      <xdr:nvPicPr>
        <xdr:cNvPr id="11" name="Gráfico 10">
          <a:extLst>
            <a:ext uri="{FF2B5EF4-FFF2-40B4-BE49-F238E27FC236}">
              <a16:creationId xmlns:a16="http://schemas.microsoft.com/office/drawing/2014/main" id="{23E8B64B-29C2-42A8-85D7-0C21DCDA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39050" y="1200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11</xdr:row>
      <xdr:rowOff>66675</xdr:rowOff>
    </xdr:from>
    <xdr:to>
      <xdr:col>10</xdr:col>
      <xdr:colOff>722100</xdr:colOff>
      <xdr:row>14</xdr:row>
      <xdr:rowOff>179175</xdr:rowOff>
    </xdr:to>
    <xdr:pic macro="[0]!Resultados">
      <xdr:nvPicPr>
        <xdr:cNvPr id="13" name="Gráfico 12">
          <a:extLst>
            <a:ext uri="{FF2B5EF4-FFF2-40B4-BE49-F238E27FC236}">
              <a16:creationId xmlns:a16="http://schemas.microsoft.com/office/drawing/2014/main" id="{E5C1D6C3-CB59-4171-AACB-B8295C2F7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658100" y="2181225"/>
          <a:ext cx="684000" cy="684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</xdr:colOff>
      <xdr:row>9</xdr:row>
      <xdr:rowOff>0</xdr:rowOff>
    </xdr:from>
    <xdr:to>
      <xdr:col>7</xdr:col>
      <xdr:colOff>43725</xdr:colOff>
      <xdr:row>12</xdr:row>
      <xdr:rowOff>148500</xdr:rowOff>
    </xdr:to>
    <xdr:pic macro="[0]!DF_1">
      <xdr:nvPicPr>
        <xdr:cNvPr id="14" name="Gráfico 13">
          <a:extLst>
            <a:ext uri="{FF2B5EF4-FFF2-40B4-BE49-F238E27FC236}">
              <a16:creationId xmlns:a16="http://schemas.microsoft.com/office/drawing/2014/main" id="{21B54141-57AB-4B6B-B2F3-35FAB79F4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134600" y="1704975"/>
          <a:ext cx="720000" cy="720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142875</xdr:rowOff>
    </xdr:from>
    <xdr:to>
      <xdr:col>7</xdr:col>
      <xdr:colOff>178308</xdr:colOff>
      <xdr:row>18</xdr:row>
      <xdr:rowOff>56007</xdr:rowOff>
    </xdr:to>
    <xdr:sp macro="[0]!TVAzteca" textlink="">
      <xdr:nvSpPr>
        <xdr:cNvPr id="16" name="Flecha: a la derecha 15">
          <a:extLst>
            <a:ext uri="{FF2B5EF4-FFF2-40B4-BE49-F238E27FC236}">
              <a16:creationId xmlns:a16="http://schemas.microsoft.com/office/drawing/2014/main" id="{EEDCF470-3980-47FD-B3AB-F1B7E109A3AA}"/>
            </a:ext>
          </a:extLst>
        </xdr:cNvPr>
        <xdr:cNvSpPr/>
      </xdr:nvSpPr>
      <xdr:spPr>
        <a:xfrm flipH="1">
          <a:off x="10010775" y="2990850"/>
          <a:ext cx="978408" cy="484632"/>
        </a:xfrm>
        <a:prstGeom prst="rightArrow">
          <a:avLst/>
        </a:prstGeom>
        <a:solidFill>
          <a:schemeClr val="accent2"/>
        </a:solidFill>
        <a:ln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Regresar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19</xdr:row>
      <xdr:rowOff>57150</xdr:rowOff>
    </xdr:from>
    <xdr:to>
      <xdr:col>8</xdr:col>
      <xdr:colOff>546600</xdr:colOff>
      <xdr:row>21</xdr:row>
      <xdr:rowOff>36150</xdr:rowOff>
    </xdr:to>
    <xdr:sp macro="[0]!Menú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4037D7E-DD00-467F-B6CD-BF5FB812F679}"/>
            </a:ext>
          </a:extLst>
        </xdr:cNvPr>
        <xdr:cNvSpPr/>
      </xdr:nvSpPr>
      <xdr:spPr>
        <a:xfrm>
          <a:off x="5562600" y="3695700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oneCellAnchor>
    <xdr:from>
      <xdr:col>7</xdr:col>
      <xdr:colOff>428625</xdr:colOff>
      <xdr:row>19</xdr:row>
      <xdr:rowOff>95250</xdr:rowOff>
    </xdr:from>
    <xdr:ext cx="666750" cy="264560"/>
    <xdr:sp macro="[0]!Menú" textlink="">
      <xdr:nvSpPr>
        <xdr:cNvPr id="3" name="CuadroTexto 2">
          <a:extLst>
            <a:ext uri="{FF2B5EF4-FFF2-40B4-BE49-F238E27FC236}">
              <a16:creationId xmlns:a16="http://schemas.microsoft.com/office/drawing/2014/main" id="{11C29BBA-2B61-4AC4-8479-DDD00FB21147}"/>
            </a:ext>
          </a:extLst>
        </xdr:cNvPr>
        <xdr:cNvSpPr txBox="1"/>
      </xdr:nvSpPr>
      <xdr:spPr>
        <a:xfrm>
          <a:off x="5762625" y="3733800"/>
          <a:ext cx="6667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MX" sz="1100" b="1">
              <a:solidFill>
                <a:schemeClr val="bg1"/>
              </a:solidFill>
            </a:rPr>
            <a:t>MENÚ</a:t>
          </a:r>
        </a:p>
      </xdr:txBody>
    </xdr:sp>
    <xdr:clientData/>
  </xdr:oneCellAnchor>
  <xdr:twoCellAnchor editAs="oneCell">
    <xdr:from>
      <xdr:col>6</xdr:col>
      <xdr:colOff>561975</xdr:colOff>
      <xdr:row>0</xdr:row>
      <xdr:rowOff>0</xdr:rowOff>
    </xdr:from>
    <xdr:to>
      <xdr:col>9</xdr:col>
      <xdr:colOff>205441</xdr:colOff>
      <xdr:row>5</xdr:row>
      <xdr:rowOff>55500</xdr:rowOff>
    </xdr:to>
    <xdr:pic>
      <xdr:nvPicPr>
        <xdr:cNvPr id="5" name="Imagen 4" descr="▷Axtel | Paquetes de Internet y TV, teléfonos de atención y más!">
          <a:extLst>
            <a:ext uri="{FF2B5EF4-FFF2-40B4-BE49-F238E27FC236}">
              <a16:creationId xmlns:a16="http://schemas.microsoft.com/office/drawing/2014/main" id="{918E8453-D312-48FA-B540-1BEA66A25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0"/>
          <a:ext cx="1929466" cy="1008000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19050</xdr:colOff>
      <xdr:row>6</xdr:row>
      <xdr:rowOff>57150</xdr:rowOff>
    </xdr:from>
    <xdr:to>
      <xdr:col>10</xdr:col>
      <xdr:colOff>739050</xdr:colOff>
      <xdr:row>9</xdr:row>
      <xdr:rowOff>186600</xdr:rowOff>
    </xdr:to>
    <xdr:pic macro="[0]!Datos5">
      <xdr:nvPicPr>
        <xdr:cNvPr id="8" name="Gráfico 7">
          <a:extLst>
            <a:ext uri="{FF2B5EF4-FFF2-40B4-BE49-F238E27FC236}">
              <a16:creationId xmlns:a16="http://schemas.microsoft.com/office/drawing/2014/main" id="{67B1A50F-DCEA-4BE0-984C-8DED5A2F0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39050" y="1200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11</xdr:row>
      <xdr:rowOff>66675</xdr:rowOff>
    </xdr:from>
    <xdr:to>
      <xdr:col>10</xdr:col>
      <xdr:colOff>722100</xdr:colOff>
      <xdr:row>14</xdr:row>
      <xdr:rowOff>179175</xdr:rowOff>
    </xdr:to>
    <xdr:pic macro="[0]!Resultados">
      <xdr:nvPicPr>
        <xdr:cNvPr id="10" name="Gráfico 9">
          <a:extLst>
            <a:ext uri="{FF2B5EF4-FFF2-40B4-BE49-F238E27FC236}">
              <a16:creationId xmlns:a16="http://schemas.microsoft.com/office/drawing/2014/main" id="{DDE20EBD-337C-40CD-B266-02CAA49FD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658100" y="2181225"/>
          <a:ext cx="684000" cy="684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</xdr:colOff>
      <xdr:row>9</xdr:row>
      <xdr:rowOff>0</xdr:rowOff>
    </xdr:from>
    <xdr:to>
      <xdr:col>7</xdr:col>
      <xdr:colOff>43725</xdr:colOff>
      <xdr:row>12</xdr:row>
      <xdr:rowOff>148500</xdr:rowOff>
    </xdr:to>
    <xdr:pic macro="[0]!DF_1">
      <xdr:nvPicPr>
        <xdr:cNvPr id="4" name="Gráfico 3">
          <a:extLst>
            <a:ext uri="{FF2B5EF4-FFF2-40B4-BE49-F238E27FC236}">
              <a16:creationId xmlns:a16="http://schemas.microsoft.com/office/drawing/2014/main" id="{D34A609A-F6E3-4015-A694-62C43C497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001375" y="1714500"/>
          <a:ext cx="720000" cy="720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142875</xdr:rowOff>
    </xdr:from>
    <xdr:to>
      <xdr:col>7</xdr:col>
      <xdr:colOff>178308</xdr:colOff>
      <xdr:row>18</xdr:row>
      <xdr:rowOff>56007</xdr:rowOff>
    </xdr:to>
    <xdr:sp macro="[0]!Axtel" textlink="">
      <xdr:nvSpPr>
        <xdr:cNvPr id="6" name="Flecha: a la derecha 5">
          <a:extLst>
            <a:ext uri="{FF2B5EF4-FFF2-40B4-BE49-F238E27FC236}">
              <a16:creationId xmlns:a16="http://schemas.microsoft.com/office/drawing/2014/main" id="{299AFB0E-905C-4408-9A7F-7ABFD89B09AD}"/>
            </a:ext>
          </a:extLst>
        </xdr:cNvPr>
        <xdr:cNvSpPr/>
      </xdr:nvSpPr>
      <xdr:spPr>
        <a:xfrm flipH="1">
          <a:off x="10877550" y="3000375"/>
          <a:ext cx="978408" cy="484632"/>
        </a:xfrm>
        <a:prstGeom prst="rightArrow">
          <a:avLst/>
        </a:prstGeom>
        <a:solidFill>
          <a:schemeClr val="tx1">
            <a:lumMod val="95000"/>
            <a:lumOff val="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  <a:sp3d>
          <a:bevelT w="0"/>
          <a:bevelB w="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latin typeface="Bahnschrift Light" panose="020B0502040204020203" pitchFamily="34" charset="0"/>
            </a:rPr>
            <a:t>Regresar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2724150</xdr:colOff>
      <xdr:row>17</xdr:row>
      <xdr:rowOff>0</xdr:rowOff>
    </xdr:from>
    <xdr:to>
      <xdr:col>0</xdr:col>
      <xdr:colOff>3804150</xdr:colOff>
      <xdr:row>18</xdr:row>
      <xdr:rowOff>179025</xdr:rowOff>
    </xdr:to>
    <xdr:sp macro="[0]!QUMMA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30A9C991-8DD0-45C6-8F60-B323FC6D1F6F}"/>
            </a:ext>
          </a:extLst>
        </xdr:cNvPr>
        <xdr:cNvSpPr/>
      </xdr:nvSpPr>
      <xdr:spPr>
        <a:xfrm>
          <a:off x="2724150" y="3076575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QUMMA</a:t>
          </a:r>
        </a:p>
      </xdr:txBody>
    </xdr:sp>
    <xdr:clientData/>
  </xdr:twoCellAnchor>
  <xdr:twoCellAnchor>
    <xdr:from>
      <xdr:col>0</xdr:col>
      <xdr:colOff>2724150</xdr:colOff>
      <xdr:row>15</xdr:row>
      <xdr:rowOff>0</xdr:rowOff>
    </xdr:from>
    <xdr:to>
      <xdr:col>0</xdr:col>
      <xdr:colOff>3804150</xdr:colOff>
      <xdr:row>16</xdr:row>
      <xdr:rowOff>179025</xdr:rowOff>
    </xdr:to>
    <xdr:sp macro="[0]!IZZI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83E9FC5-188D-462C-BEF9-5CA1EAD6344B}"/>
            </a:ext>
          </a:extLst>
        </xdr:cNvPr>
        <xdr:cNvSpPr/>
      </xdr:nvSpPr>
      <xdr:spPr>
        <a:xfrm>
          <a:off x="2724150" y="2714625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izzi</a:t>
          </a:r>
        </a:p>
      </xdr:txBody>
    </xdr:sp>
    <xdr:clientData/>
  </xdr:twoCellAnchor>
  <xdr:twoCellAnchor>
    <xdr:from>
      <xdr:col>0</xdr:col>
      <xdr:colOff>2724150</xdr:colOff>
      <xdr:row>13</xdr:row>
      <xdr:rowOff>0</xdr:rowOff>
    </xdr:from>
    <xdr:to>
      <xdr:col>0</xdr:col>
      <xdr:colOff>3804150</xdr:colOff>
      <xdr:row>14</xdr:row>
      <xdr:rowOff>179025</xdr:rowOff>
    </xdr:to>
    <xdr:sp macro="[0]!AmericaMovi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4153C27F-46D6-4BA9-9A7E-E3FAC5E5468E}"/>
            </a:ext>
          </a:extLst>
        </xdr:cNvPr>
        <xdr:cNvSpPr/>
      </xdr:nvSpPr>
      <xdr:spPr>
        <a:xfrm>
          <a:off x="2724150" y="2352675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América</a:t>
          </a:r>
          <a:r>
            <a:rPr lang="es-MX" sz="1100" b="1" baseline="0">
              <a:latin typeface="Bahnschrift Light" panose="020B0502040204020203" pitchFamily="34" charset="0"/>
            </a:rPr>
            <a:t> M.</a:t>
          </a:r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0</xdr:col>
      <xdr:colOff>2724150</xdr:colOff>
      <xdr:row>19</xdr:row>
      <xdr:rowOff>0</xdr:rowOff>
    </xdr:from>
    <xdr:to>
      <xdr:col>0</xdr:col>
      <xdr:colOff>3804150</xdr:colOff>
      <xdr:row>20</xdr:row>
      <xdr:rowOff>179025</xdr:rowOff>
    </xdr:to>
    <xdr:sp macro="[0]!TVAzteca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F0318038-9655-404D-980C-1C4AA1CFDFB6}"/>
            </a:ext>
          </a:extLst>
        </xdr:cNvPr>
        <xdr:cNvSpPr/>
      </xdr:nvSpPr>
      <xdr:spPr>
        <a:xfrm>
          <a:off x="2724150" y="3438525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TV</a:t>
          </a:r>
          <a:r>
            <a:rPr lang="es-MX" sz="1100" b="1" baseline="0">
              <a:latin typeface="Bahnschrift Light" panose="020B0502040204020203" pitchFamily="34" charset="0"/>
            </a:rPr>
            <a:t> Azteca</a:t>
          </a:r>
        </a:p>
      </xdr:txBody>
    </xdr:sp>
    <xdr:clientData/>
  </xdr:twoCellAnchor>
  <xdr:twoCellAnchor>
    <xdr:from>
      <xdr:col>0</xdr:col>
      <xdr:colOff>2724150</xdr:colOff>
      <xdr:row>21</xdr:row>
      <xdr:rowOff>0</xdr:rowOff>
    </xdr:from>
    <xdr:to>
      <xdr:col>0</xdr:col>
      <xdr:colOff>3804150</xdr:colOff>
      <xdr:row>22</xdr:row>
      <xdr:rowOff>179025</xdr:rowOff>
    </xdr:to>
    <xdr:sp macro="[0]!Axtel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CCFECB7B-B628-4369-8E9E-C3A585F5A7D1}"/>
            </a:ext>
          </a:extLst>
        </xdr:cNvPr>
        <xdr:cNvSpPr/>
      </xdr:nvSpPr>
      <xdr:spPr>
        <a:xfrm>
          <a:off x="2724150" y="3800475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Axtel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0</xdr:row>
      <xdr:rowOff>0</xdr:rowOff>
    </xdr:from>
    <xdr:to>
      <xdr:col>12</xdr:col>
      <xdr:colOff>307181</xdr:colOff>
      <xdr:row>15</xdr:row>
      <xdr:rowOff>64294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AC776D-1D91-490B-A9F5-6D35A4884D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171450</xdr:rowOff>
    </xdr:from>
    <xdr:to>
      <xdr:col>3</xdr:col>
      <xdr:colOff>285750</xdr:colOff>
      <xdr:row>31</xdr:row>
      <xdr:rowOff>54769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8B5D256-873E-4390-B95D-0C2CBEAFB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400050</xdr:colOff>
      <xdr:row>15</xdr:row>
      <xdr:rowOff>171450</xdr:rowOff>
    </xdr:from>
    <xdr:to>
      <xdr:col>8</xdr:col>
      <xdr:colOff>466725</xdr:colOff>
      <xdr:row>31</xdr:row>
      <xdr:rowOff>54769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B9ED95B-8C16-4A5C-A6AA-F4438ABE7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581025</xdr:colOff>
      <xdr:row>15</xdr:row>
      <xdr:rowOff>171450</xdr:rowOff>
    </xdr:from>
    <xdr:to>
      <xdr:col>14</xdr:col>
      <xdr:colOff>581025</xdr:colOff>
      <xdr:row>31</xdr:row>
      <xdr:rowOff>54769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CB785D5E-1BD1-4B4E-87B9-92A19F52D7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3</xdr:col>
      <xdr:colOff>311604</xdr:colOff>
      <xdr:row>47</xdr:row>
      <xdr:rowOff>60212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03B49A9-6AA3-44FB-B286-624EA7794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449038</xdr:colOff>
      <xdr:row>32</xdr:row>
      <xdr:rowOff>13608</xdr:rowOff>
    </xdr:from>
    <xdr:to>
      <xdr:col>8</xdr:col>
      <xdr:colOff>515713</xdr:colOff>
      <xdr:row>47</xdr:row>
      <xdr:rowOff>73820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7F22736-ABC5-462B-AD27-FA7049930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639536</xdr:colOff>
      <xdr:row>32</xdr:row>
      <xdr:rowOff>13608</xdr:rowOff>
    </xdr:from>
    <xdr:to>
      <xdr:col>14</xdr:col>
      <xdr:colOff>665390</xdr:colOff>
      <xdr:row>47</xdr:row>
      <xdr:rowOff>73820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7F895AF7-1B6A-452E-8AE4-56DBE07B3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8</xdr:colOff>
      <xdr:row>48</xdr:row>
      <xdr:rowOff>0</xdr:rowOff>
    </xdr:from>
    <xdr:to>
      <xdr:col>3</xdr:col>
      <xdr:colOff>302087</xdr:colOff>
      <xdr:row>63</xdr:row>
      <xdr:rowOff>60212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4D7F055-1A65-46B7-82BE-EBFCB3B6F4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435435</xdr:colOff>
      <xdr:row>48</xdr:row>
      <xdr:rowOff>0</xdr:rowOff>
    </xdr:from>
    <xdr:to>
      <xdr:col>8</xdr:col>
      <xdr:colOff>502110</xdr:colOff>
      <xdr:row>63</xdr:row>
      <xdr:rowOff>60212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E3993D1-DAF3-4E11-8E41-DE18FC1A3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639536</xdr:colOff>
      <xdr:row>48</xdr:row>
      <xdr:rowOff>0</xdr:rowOff>
    </xdr:from>
    <xdr:to>
      <xdr:col>14</xdr:col>
      <xdr:colOff>665390</xdr:colOff>
      <xdr:row>63</xdr:row>
      <xdr:rowOff>60212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FC52B63-721E-492A-A0A3-B011776ED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64</xdr:row>
      <xdr:rowOff>0</xdr:rowOff>
    </xdr:from>
    <xdr:to>
      <xdr:col>3</xdr:col>
      <xdr:colOff>311604</xdr:colOff>
      <xdr:row>79</xdr:row>
      <xdr:rowOff>60212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C8DE690C-2E1B-43BF-A7E4-D7703CB1B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6</xdr:row>
      <xdr:rowOff>4233</xdr:rowOff>
    </xdr:from>
    <xdr:to>
      <xdr:col>14</xdr:col>
      <xdr:colOff>318000</xdr:colOff>
      <xdr:row>8</xdr:row>
      <xdr:rowOff>4400</xdr:rowOff>
    </xdr:to>
    <xdr:sp macro="[0]!QUMMA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DE733A9B-2A72-4A16-83A8-573A2BC52D11}"/>
            </a:ext>
          </a:extLst>
        </xdr:cNvPr>
        <xdr:cNvSpPr/>
      </xdr:nvSpPr>
      <xdr:spPr>
        <a:xfrm>
          <a:off x="12615333" y="1083733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QUMMA</a:t>
          </a:r>
        </a:p>
      </xdr:txBody>
    </xdr:sp>
    <xdr:clientData/>
  </xdr:twoCellAnchor>
  <xdr:twoCellAnchor>
    <xdr:from>
      <xdr:col>13</xdr:col>
      <xdr:colOff>0</xdr:colOff>
      <xdr:row>4</xdr:row>
      <xdr:rowOff>2116</xdr:rowOff>
    </xdr:from>
    <xdr:to>
      <xdr:col>14</xdr:col>
      <xdr:colOff>318000</xdr:colOff>
      <xdr:row>6</xdr:row>
      <xdr:rowOff>2283</xdr:rowOff>
    </xdr:to>
    <xdr:sp macro="[0]!IZZI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C70854FD-A9D3-4AA8-8491-2E220F5F92DB}"/>
            </a:ext>
          </a:extLst>
        </xdr:cNvPr>
        <xdr:cNvSpPr/>
      </xdr:nvSpPr>
      <xdr:spPr>
        <a:xfrm>
          <a:off x="12615333" y="721783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izzi</a:t>
          </a: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318000</xdr:colOff>
      <xdr:row>4</xdr:row>
      <xdr:rowOff>166</xdr:rowOff>
    </xdr:to>
    <xdr:sp macro="[0]!AmericaMovil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57670556-DC3F-4A49-A18B-2AC9BE18F27E}"/>
            </a:ext>
          </a:extLst>
        </xdr:cNvPr>
        <xdr:cNvSpPr/>
      </xdr:nvSpPr>
      <xdr:spPr>
        <a:xfrm>
          <a:off x="12615333" y="359833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América</a:t>
          </a:r>
          <a:r>
            <a:rPr lang="es-MX" sz="1100" b="1" baseline="0">
              <a:latin typeface="Bahnschrift Light" panose="020B0502040204020203" pitchFamily="34" charset="0"/>
            </a:rPr>
            <a:t> M.</a:t>
          </a:r>
          <a:endParaRPr lang="es-MX" sz="1100" b="1"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13</xdr:col>
      <xdr:colOff>0</xdr:colOff>
      <xdr:row>8</xdr:row>
      <xdr:rowOff>6350</xdr:rowOff>
    </xdr:from>
    <xdr:to>
      <xdr:col>14</xdr:col>
      <xdr:colOff>318000</xdr:colOff>
      <xdr:row>10</xdr:row>
      <xdr:rowOff>6516</xdr:rowOff>
    </xdr:to>
    <xdr:sp macro="[0]!TVAzteca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D6CCEDE0-6F46-4828-A4DB-4994CADEBC1E}"/>
            </a:ext>
          </a:extLst>
        </xdr:cNvPr>
        <xdr:cNvSpPr/>
      </xdr:nvSpPr>
      <xdr:spPr>
        <a:xfrm>
          <a:off x="12615333" y="1445683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TV</a:t>
          </a:r>
          <a:r>
            <a:rPr lang="es-MX" sz="1100" b="1" baseline="0">
              <a:latin typeface="Bahnschrift Light" panose="020B0502040204020203" pitchFamily="34" charset="0"/>
            </a:rPr>
            <a:t> Azteca</a:t>
          </a:r>
        </a:p>
      </xdr:txBody>
    </xdr:sp>
    <xdr:clientData/>
  </xdr:twoCellAnchor>
  <xdr:twoCellAnchor>
    <xdr:from>
      <xdr:col>13</xdr:col>
      <xdr:colOff>0</xdr:colOff>
      <xdr:row>10</xdr:row>
      <xdr:rowOff>8466</xdr:rowOff>
    </xdr:from>
    <xdr:to>
      <xdr:col>14</xdr:col>
      <xdr:colOff>318000</xdr:colOff>
      <xdr:row>12</xdr:row>
      <xdr:rowOff>8633</xdr:rowOff>
    </xdr:to>
    <xdr:sp macro="[0]!Axtel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170F76-3B8F-4858-A9A8-6B24F8D84A63}"/>
            </a:ext>
          </a:extLst>
        </xdr:cNvPr>
        <xdr:cNvSpPr/>
      </xdr:nvSpPr>
      <xdr:spPr>
        <a:xfrm>
          <a:off x="12615333" y="1807633"/>
          <a:ext cx="1080000" cy="36000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latin typeface="Bahnschrift Light" panose="020B0502040204020203" pitchFamily="34" charset="0"/>
            </a:rPr>
            <a:t>Axtel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C32D-5C3E-4C6A-9EBB-1793F53CC5F8}">
  <sheetPr codeName="Hoja1">
    <tabColor theme="7"/>
  </sheetPr>
  <dimension ref="C2:K18"/>
  <sheetViews>
    <sheetView workbookViewId="0">
      <selection activeCell="O9" sqref="O9"/>
    </sheetView>
  </sheetViews>
  <sheetFormatPr baseColWidth="10" defaultRowHeight="15" x14ac:dyDescent="0.25"/>
  <cols>
    <col min="1" max="7" width="11.42578125" style="1"/>
    <col min="8" max="9" width="11.42578125" style="1" customWidth="1"/>
    <col min="10" max="16384" width="11.42578125" style="1"/>
  </cols>
  <sheetData>
    <row r="2" spans="3:11" ht="18" x14ac:dyDescent="0.25">
      <c r="C2" s="8"/>
      <c r="D2" s="8"/>
      <c r="E2" s="8"/>
      <c r="F2" s="100" t="s">
        <v>0</v>
      </c>
      <c r="G2" s="100"/>
      <c r="H2" s="100"/>
      <c r="I2" s="100"/>
      <c r="J2" s="100"/>
      <c r="K2" s="100"/>
    </row>
    <row r="3" spans="3:11" ht="18" x14ac:dyDescent="0.25">
      <c r="C3" s="8"/>
      <c r="D3" s="8"/>
      <c r="E3" s="8"/>
      <c r="F3" s="100" t="s">
        <v>1</v>
      </c>
      <c r="G3" s="100"/>
      <c r="H3" s="100"/>
      <c r="I3" s="100"/>
      <c r="J3" s="100"/>
      <c r="K3" s="100"/>
    </row>
    <row r="4" spans="3:11" ht="17.25" x14ac:dyDescent="0.3">
      <c r="C4" s="2"/>
      <c r="D4" s="2"/>
      <c r="E4" s="2"/>
      <c r="F4" s="3"/>
      <c r="G4" s="3"/>
    </row>
    <row r="5" spans="3:11" ht="18" x14ac:dyDescent="0.25">
      <c r="C5" s="8"/>
      <c r="D5" s="8"/>
      <c r="E5" s="8"/>
      <c r="F5" s="100" t="s">
        <v>2</v>
      </c>
      <c r="G5" s="100"/>
      <c r="H5" s="100"/>
      <c r="I5" s="100"/>
      <c r="J5" s="100"/>
      <c r="K5" s="100"/>
    </row>
    <row r="6" spans="3:11" ht="18" x14ac:dyDescent="0.25">
      <c r="C6" s="8"/>
      <c r="D6" s="8"/>
      <c r="E6" s="8"/>
      <c r="F6" s="101" t="s">
        <v>3</v>
      </c>
      <c r="G6" s="100"/>
      <c r="H6" s="100"/>
      <c r="I6" s="100"/>
      <c r="J6" s="100"/>
      <c r="K6" s="100"/>
    </row>
    <row r="7" spans="3:11" ht="17.25" x14ac:dyDescent="0.3">
      <c r="C7" s="2"/>
      <c r="D7" s="2"/>
      <c r="E7" s="2"/>
      <c r="F7" s="3"/>
      <c r="G7" s="3"/>
    </row>
    <row r="8" spans="3:11" ht="18" x14ac:dyDescent="0.25">
      <c r="C8" s="8"/>
      <c r="D8" s="8"/>
      <c r="E8" s="8"/>
      <c r="F8" s="100" t="s">
        <v>9</v>
      </c>
      <c r="G8" s="100"/>
      <c r="H8" s="100"/>
      <c r="I8" s="100"/>
      <c r="J8" s="100"/>
      <c r="K8" s="100"/>
    </row>
    <row r="10" spans="3:11" ht="18" x14ac:dyDescent="0.25">
      <c r="C10" s="8"/>
      <c r="D10" s="8"/>
      <c r="E10" s="8"/>
      <c r="F10" s="100" t="s">
        <v>4</v>
      </c>
      <c r="G10" s="100"/>
      <c r="H10" s="100"/>
      <c r="I10" s="100"/>
      <c r="J10" s="100"/>
      <c r="K10" s="100"/>
    </row>
    <row r="12" spans="3:11" ht="18" x14ac:dyDescent="0.25">
      <c r="C12" s="8"/>
      <c r="D12" s="8"/>
      <c r="E12" s="8"/>
      <c r="F12" s="100" t="s">
        <v>5</v>
      </c>
      <c r="G12" s="100"/>
      <c r="H12" s="100"/>
      <c r="I12" s="100"/>
      <c r="J12" s="100"/>
      <c r="K12" s="100"/>
    </row>
    <row r="13" spans="3:11" ht="18" x14ac:dyDescent="0.25">
      <c r="C13" s="8"/>
      <c r="D13" s="8"/>
      <c r="E13" s="8"/>
      <c r="F13" s="100" t="s">
        <v>6</v>
      </c>
      <c r="G13" s="100"/>
      <c r="H13" s="100"/>
      <c r="I13" s="100"/>
      <c r="J13" s="100"/>
      <c r="K13" s="100"/>
    </row>
    <row r="14" spans="3:11" ht="18" x14ac:dyDescent="0.25">
      <c r="C14" s="8"/>
      <c r="D14" s="8"/>
      <c r="E14" s="8"/>
      <c r="F14" s="100" t="s">
        <v>7</v>
      </c>
      <c r="G14" s="100"/>
      <c r="H14" s="100"/>
      <c r="I14" s="100"/>
      <c r="J14" s="100"/>
      <c r="K14" s="100"/>
    </row>
    <row r="15" spans="3:11" ht="18" x14ac:dyDescent="0.25">
      <c r="C15" s="8"/>
      <c r="D15" s="8"/>
      <c r="E15" s="8"/>
      <c r="F15" s="100" t="s">
        <v>8</v>
      </c>
      <c r="G15" s="100"/>
      <c r="H15" s="100"/>
      <c r="I15" s="100"/>
      <c r="J15" s="100"/>
      <c r="K15" s="100"/>
    </row>
    <row r="16" spans="3:11" ht="18" x14ac:dyDescent="0.25">
      <c r="C16" s="8"/>
      <c r="D16" s="8"/>
      <c r="E16" s="8"/>
      <c r="F16" s="100" t="s">
        <v>10</v>
      </c>
      <c r="G16" s="100"/>
      <c r="H16" s="100"/>
      <c r="I16" s="100"/>
      <c r="J16" s="100"/>
      <c r="K16" s="100"/>
    </row>
    <row r="18" spans="3:6" x14ac:dyDescent="0.25">
      <c r="C18" s="12"/>
      <c r="D18" s="12"/>
      <c r="E18" s="12"/>
      <c r="F18" s="12"/>
    </row>
  </sheetData>
  <mergeCells count="11">
    <mergeCell ref="F16:K16"/>
    <mergeCell ref="F10:K10"/>
    <mergeCell ref="F12:K12"/>
    <mergeCell ref="F13:K13"/>
    <mergeCell ref="F14:K14"/>
    <mergeCell ref="F15:K15"/>
    <mergeCell ref="F2:K2"/>
    <mergeCell ref="F3:K3"/>
    <mergeCell ref="F5:K5"/>
    <mergeCell ref="F6:K6"/>
    <mergeCell ref="F8:K8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CEA26-67A2-4C01-A971-B8A20F5A5D9C}">
  <sheetPr codeName="Hoja2">
    <tabColor theme="0"/>
  </sheetPr>
  <dimension ref="F4:K4"/>
  <sheetViews>
    <sheetView workbookViewId="0"/>
  </sheetViews>
  <sheetFormatPr baseColWidth="10" defaultRowHeight="15" x14ac:dyDescent="0.25"/>
  <cols>
    <col min="1" max="16384" width="11.42578125" style="4"/>
  </cols>
  <sheetData>
    <row r="4" spans="6:11" ht="19.5" x14ac:dyDescent="0.25">
      <c r="F4" s="102" t="s">
        <v>14</v>
      </c>
      <c r="G4" s="103"/>
      <c r="H4" s="103"/>
      <c r="I4" s="103"/>
      <c r="J4" s="103"/>
      <c r="K4" s="103"/>
    </row>
  </sheetData>
  <mergeCells count="1">
    <mergeCell ref="F4:K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12709-BE20-4727-8472-74AFBC18F554}">
  <sheetPr codeName="Hoja3">
    <tabColor theme="4" tint="-0.499984740745262"/>
  </sheetPr>
  <dimension ref="C7:L19"/>
  <sheetViews>
    <sheetView workbookViewId="0"/>
  </sheetViews>
  <sheetFormatPr baseColWidth="10" defaultRowHeight="15" x14ac:dyDescent="0.25"/>
  <cols>
    <col min="1" max="16384" width="11.42578125" style="5"/>
  </cols>
  <sheetData>
    <row r="7" spans="3:12" ht="16.5" x14ac:dyDescent="0.25">
      <c r="C7" s="10"/>
      <c r="E7" s="104" t="s">
        <v>13</v>
      </c>
      <c r="F7" s="104"/>
      <c r="G7" s="104"/>
    </row>
    <row r="9" spans="3:12" x14ac:dyDescent="0.25">
      <c r="C9" s="11"/>
      <c r="D9" s="11"/>
      <c r="E9" s="11" t="s">
        <v>11</v>
      </c>
      <c r="L9" s="28"/>
    </row>
    <row r="11" spans="3:12" x14ac:dyDescent="0.25">
      <c r="C11" s="10"/>
      <c r="E11" s="11" t="s">
        <v>15</v>
      </c>
      <c r="F11" s="11"/>
      <c r="G11" s="11"/>
      <c r="H11" s="11"/>
      <c r="I11" s="11"/>
      <c r="J11" s="11"/>
      <c r="K11" s="7" t="s">
        <v>38</v>
      </c>
    </row>
    <row r="12" spans="3:12" x14ac:dyDescent="0.25">
      <c r="E12" s="10" t="s">
        <v>16</v>
      </c>
      <c r="F12" s="10"/>
      <c r="G12" s="10"/>
      <c r="H12" s="10"/>
      <c r="I12" s="10"/>
      <c r="J12" s="10"/>
      <c r="K12" s="7"/>
      <c r="L12" s="28"/>
    </row>
    <row r="13" spans="3:12" x14ac:dyDescent="0.25">
      <c r="E13" s="10" t="s">
        <v>17</v>
      </c>
      <c r="F13" s="10"/>
      <c r="G13" s="10"/>
      <c r="H13" s="10"/>
      <c r="I13" s="10"/>
      <c r="J13" s="10"/>
    </row>
    <row r="14" spans="3:12" x14ac:dyDescent="0.25">
      <c r="E14" s="5" t="s">
        <v>18</v>
      </c>
    </row>
    <row r="16" spans="3:12" x14ac:dyDescent="0.25">
      <c r="E16" s="6" t="s">
        <v>12</v>
      </c>
      <c r="K16" s="7" t="s">
        <v>77</v>
      </c>
    </row>
    <row r="19" spans="11:11" x14ac:dyDescent="0.25">
      <c r="K19" s="7"/>
    </row>
  </sheetData>
  <mergeCells count="1">
    <mergeCell ref="E7:G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3539-5D05-41DE-A11A-835B2449EDB5}">
  <sheetPr codeName="Hoja8">
    <tabColor theme="0"/>
  </sheetPr>
  <dimension ref="C1:H26"/>
  <sheetViews>
    <sheetView topLeftCell="A4" zoomScaleNormal="100" workbookViewId="0"/>
  </sheetViews>
  <sheetFormatPr baseColWidth="10" defaultColWidth="12" defaultRowHeight="14.25" x14ac:dyDescent="0.2"/>
  <cols>
    <col min="1" max="2" width="12" style="6"/>
    <col min="3" max="3" width="39.85546875" style="6" bestFit="1" customWidth="1"/>
    <col min="4" max="4" width="60.5703125" style="6" bestFit="1" customWidth="1"/>
    <col min="5" max="5" width="19.85546875" style="6" bestFit="1" customWidth="1"/>
    <col min="6" max="16384" width="12" style="6"/>
  </cols>
  <sheetData>
    <row r="1" spans="3:8" x14ac:dyDescent="0.2">
      <c r="C1" s="105" t="s">
        <v>39</v>
      </c>
      <c r="D1" s="106"/>
      <c r="E1" s="107"/>
    </row>
    <row r="2" spans="3:8" x14ac:dyDescent="0.2">
      <c r="C2" s="35"/>
      <c r="D2" s="35"/>
      <c r="E2" s="36" t="s">
        <v>52</v>
      </c>
    </row>
    <row r="3" spans="3:8" x14ac:dyDescent="0.2">
      <c r="C3" s="35" t="s">
        <v>40</v>
      </c>
      <c r="D3" s="35"/>
      <c r="E3" s="51">
        <v>117231528</v>
      </c>
    </row>
    <row r="4" spans="3:8" x14ac:dyDescent="0.2">
      <c r="C4" s="35" t="s">
        <v>43</v>
      </c>
      <c r="D4" s="35"/>
      <c r="E4" s="51">
        <v>475803</v>
      </c>
    </row>
    <row r="5" spans="3:8" x14ac:dyDescent="0.2">
      <c r="C5" s="35" t="s">
        <v>44</v>
      </c>
      <c r="D5" s="35"/>
      <c r="E5" s="51">
        <v>30377439</v>
      </c>
    </row>
    <row r="6" spans="3:8" x14ac:dyDescent="0.2">
      <c r="C6" s="35" t="s">
        <v>41</v>
      </c>
      <c r="D6" s="35"/>
      <c r="E6" s="51">
        <v>349004703</v>
      </c>
    </row>
    <row r="7" spans="3:8" x14ac:dyDescent="0.2">
      <c r="C7" s="35" t="s">
        <v>45</v>
      </c>
      <c r="D7" s="35"/>
      <c r="E7" s="51">
        <v>496092144</v>
      </c>
    </row>
    <row r="8" spans="3:8" x14ac:dyDescent="0.2">
      <c r="C8" s="35" t="s">
        <v>46</v>
      </c>
      <c r="D8" s="35"/>
      <c r="E8" s="51">
        <v>1506677065</v>
      </c>
    </row>
    <row r="9" spans="3:8" x14ac:dyDescent="0.2">
      <c r="C9" s="35" t="s">
        <v>47</v>
      </c>
      <c r="D9" s="35"/>
      <c r="E9" s="51">
        <v>1268789476</v>
      </c>
    </row>
    <row r="10" spans="3:8" x14ac:dyDescent="0.2">
      <c r="C10" s="35" t="s">
        <v>42</v>
      </c>
      <c r="D10" s="36" t="s">
        <v>53</v>
      </c>
      <c r="E10" s="51">
        <v>37.771999999999998</v>
      </c>
    </row>
    <row r="11" spans="3:8" x14ac:dyDescent="0.2">
      <c r="C11" s="35" t="s">
        <v>48</v>
      </c>
      <c r="D11" s="36"/>
      <c r="E11" s="51">
        <v>49.34</v>
      </c>
    </row>
    <row r="12" spans="3:8" x14ac:dyDescent="0.2">
      <c r="C12" s="35" t="s">
        <v>49</v>
      </c>
      <c r="D12" s="36"/>
      <c r="E12" s="51">
        <v>255.029</v>
      </c>
    </row>
    <row r="13" spans="3:8" x14ac:dyDescent="0.2">
      <c r="C13" s="35" t="s">
        <v>50</v>
      </c>
      <c r="D13" s="36" t="s">
        <v>53</v>
      </c>
      <c r="E13" s="51">
        <v>37.311999999999998</v>
      </c>
    </row>
    <row r="14" spans="3:8" ht="15" customHeight="1" x14ac:dyDescent="0.2">
      <c r="C14" s="35" t="s">
        <v>51</v>
      </c>
      <c r="D14" s="36" t="s">
        <v>54</v>
      </c>
      <c r="E14" s="51">
        <v>237887589</v>
      </c>
      <c r="F14" s="108" t="s">
        <v>123</v>
      </c>
      <c r="G14" s="109"/>
      <c r="H14" s="109"/>
    </row>
    <row r="16" spans="3:8" x14ac:dyDescent="0.2">
      <c r="C16" s="34" t="s">
        <v>55</v>
      </c>
      <c r="D16" s="34" t="s">
        <v>66</v>
      </c>
      <c r="E16" s="34" t="s">
        <v>77</v>
      </c>
    </row>
    <row r="17" spans="3:5" x14ac:dyDescent="0.2">
      <c r="C17" s="35" t="s">
        <v>81</v>
      </c>
      <c r="D17" s="35" t="s">
        <v>67</v>
      </c>
      <c r="E17" s="58">
        <f>E6/E7</f>
        <v>0.70350782051489213</v>
      </c>
    </row>
    <row r="18" spans="3:5" x14ac:dyDescent="0.2">
      <c r="C18" s="35" t="s">
        <v>79</v>
      </c>
      <c r="D18" s="35" t="s">
        <v>68</v>
      </c>
      <c r="E18" s="58">
        <f>(E6-E5)/E7</f>
        <v>0.6422743594181971</v>
      </c>
    </row>
    <row r="19" spans="3:5" x14ac:dyDescent="0.2">
      <c r="C19" s="35" t="s">
        <v>58</v>
      </c>
      <c r="D19" s="35" t="s">
        <v>69</v>
      </c>
      <c r="E19" s="58">
        <f>E9/E8</f>
        <v>0.84211109697883402</v>
      </c>
    </row>
    <row r="20" spans="3:5" x14ac:dyDescent="0.2">
      <c r="C20" s="35" t="s">
        <v>82</v>
      </c>
      <c r="D20" s="35" t="s">
        <v>70</v>
      </c>
      <c r="E20" s="58">
        <f>(-E10)/E11</f>
        <v>-0.7655451965950546</v>
      </c>
    </row>
    <row r="21" spans="3:5" x14ac:dyDescent="0.2">
      <c r="C21" s="35" t="s">
        <v>60</v>
      </c>
      <c r="D21" s="35" t="s">
        <v>71</v>
      </c>
      <c r="E21" s="58">
        <f>E3/E5</f>
        <v>3.8591642962397192</v>
      </c>
    </row>
    <row r="22" spans="3:5" x14ac:dyDescent="0.2">
      <c r="C22" s="35" t="s">
        <v>61</v>
      </c>
      <c r="D22" s="35" t="s">
        <v>72</v>
      </c>
      <c r="E22" s="58">
        <f>E4/(E3/360)</f>
        <v>1.4611178658355455</v>
      </c>
    </row>
    <row r="23" spans="3:5" x14ac:dyDescent="0.2">
      <c r="C23" s="35" t="s">
        <v>62</v>
      </c>
      <c r="D23" s="35" t="s">
        <v>73</v>
      </c>
      <c r="E23" s="58">
        <f>E3/E8</f>
        <v>7.7807999287491644E-2</v>
      </c>
    </row>
    <row r="24" spans="3:5" x14ac:dyDescent="0.2">
      <c r="C24" s="35" t="s">
        <v>63</v>
      </c>
      <c r="D24" s="35" t="s">
        <v>74</v>
      </c>
      <c r="E24" s="58">
        <f>E12/E3</f>
        <v>2.1754301453786389E-6</v>
      </c>
    </row>
    <row r="25" spans="3:5" x14ac:dyDescent="0.2">
      <c r="C25" s="35" t="s">
        <v>64</v>
      </c>
      <c r="D25" s="35" t="s">
        <v>75</v>
      </c>
      <c r="E25" s="58">
        <f>-E13/E8</f>
        <v>-2.4764430856986594E-8</v>
      </c>
    </row>
    <row r="26" spans="3:5" x14ac:dyDescent="0.2">
      <c r="C26" s="35" t="s">
        <v>65</v>
      </c>
      <c r="D26" s="35" t="s">
        <v>76</v>
      </c>
      <c r="E26" s="58">
        <f>E12/E14</f>
        <v>1.0720567687959543E-6</v>
      </c>
    </row>
  </sheetData>
  <mergeCells count="2">
    <mergeCell ref="C1:E1"/>
    <mergeCell ref="F14:H1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573B6-E1F6-4E0A-AFF3-C9481579688A}">
  <sheetPr codeName="Hoja4">
    <tabColor theme="1"/>
  </sheetPr>
  <dimension ref="E7:K19"/>
  <sheetViews>
    <sheetView zoomScaleNormal="100" workbookViewId="0"/>
  </sheetViews>
  <sheetFormatPr baseColWidth="10" defaultRowHeight="15" x14ac:dyDescent="0.25"/>
  <cols>
    <col min="1" max="16384" width="11.42578125" style="9"/>
  </cols>
  <sheetData>
    <row r="7" spans="5:11" ht="16.5" x14ac:dyDescent="0.25">
      <c r="E7" s="110" t="s">
        <v>13</v>
      </c>
      <c r="F7" s="110"/>
      <c r="G7" s="110"/>
      <c r="H7" s="19"/>
    </row>
    <row r="9" spans="5:11" x14ac:dyDescent="0.25">
      <c r="E9" s="20" t="s">
        <v>11</v>
      </c>
    </row>
    <row r="11" spans="5:11" x14ac:dyDescent="0.25">
      <c r="E11" s="20" t="s">
        <v>20</v>
      </c>
      <c r="K11" s="30" t="s">
        <v>38</v>
      </c>
    </row>
    <row r="12" spans="5:11" x14ac:dyDescent="0.25">
      <c r="E12" s="9" t="s">
        <v>21</v>
      </c>
    </row>
    <row r="13" spans="5:11" x14ac:dyDescent="0.25">
      <c r="E13" s="9" t="s">
        <v>22</v>
      </c>
    </row>
    <row r="14" spans="5:11" x14ac:dyDescent="0.25">
      <c r="E14" s="9" t="s">
        <v>23</v>
      </c>
    </row>
    <row r="16" spans="5:11" x14ac:dyDescent="0.25">
      <c r="E16" s="21" t="s">
        <v>19</v>
      </c>
      <c r="K16" s="30" t="s">
        <v>77</v>
      </c>
    </row>
    <row r="19" spans="11:11" x14ac:dyDescent="0.25">
      <c r="K19" s="30"/>
    </row>
  </sheetData>
  <mergeCells count="1">
    <mergeCell ref="E7:G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0AE3C-AD41-491E-8065-392D294FE8CC}">
  <sheetPr codeName="Hoja9">
    <tabColor theme="0"/>
  </sheetPr>
  <dimension ref="C1:H31"/>
  <sheetViews>
    <sheetView workbookViewId="0"/>
  </sheetViews>
  <sheetFormatPr baseColWidth="10" defaultColWidth="12" defaultRowHeight="14.25" x14ac:dyDescent="0.2"/>
  <cols>
    <col min="1" max="2" width="12" style="21"/>
    <col min="3" max="3" width="39.85546875" style="21" bestFit="1" customWidth="1"/>
    <col min="4" max="4" width="60.5703125" style="21" bestFit="1" customWidth="1"/>
    <col min="5" max="5" width="17.140625" style="21" bestFit="1" customWidth="1"/>
    <col min="6" max="16384" width="12" style="21"/>
  </cols>
  <sheetData>
    <row r="1" spans="3:8" x14ac:dyDescent="0.2">
      <c r="C1" s="111" t="s">
        <v>83</v>
      </c>
      <c r="D1" s="112"/>
      <c r="E1" s="113"/>
    </row>
    <row r="2" spans="3:8" x14ac:dyDescent="0.2">
      <c r="C2" s="38"/>
      <c r="D2" s="38"/>
      <c r="E2" s="39"/>
    </row>
    <row r="3" spans="3:8" x14ac:dyDescent="0.2">
      <c r="C3" s="38" t="s">
        <v>40</v>
      </c>
      <c r="D3" s="40"/>
      <c r="E3" s="52">
        <v>2466661</v>
      </c>
    </row>
    <row r="4" spans="3:8" x14ac:dyDescent="0.2">
      <c r="C4" s="38" t="s">
        <v>43</v>
      </c>
      <c r="D4" s="40"/>
      <c r="E4" s="91">
        <v>1147552</v>
      </c>
    </row>
    <row r="5" spans="3:8" x14ac:dyDescent="0.2">
      <c r="C5" s="38" t="s">
        <v>44</v>
      </c>
      <c r="D5" s="40"/>
      <c r="E5" s="53">
        <v>169.477</v>
      </c>
    </row>
    <row r="6" spans="3:8" x14ac:dyDescent="0.2">
      <c r="C6" s="38" t="s">
        <v>41</v>
      </c>
      <c r="D6" s="40"/>
      <c r="E6" s="52">
        <v>6179169</v>
      </c>
    </row>
    <row r="7" spans="3:8" x14ac:dyDescent="0.2">
      <c r="C7" s="38" t="s">
        <v>45</v>
      </c>
      <c r="D7" s="40"/>
      <c r="E7" s="52">
        <v>5470627</v>
      </c>
    </row>
    <row r="8" spans="3:8" x14ac:dyDescent="0.2">
      <c r="C8" s="38" t="s">
        <v>46</v>
      </c>
      <c r="D8" s="40"/>
      <c r="E8" s="52">
        <v>28988051</v>
      </c>
    </row>
    <row r="9" spans="3:8" x14ac:dyDescent="0.2">
      <c r="C9" s="38" t="s">
        <v>47</v>
      </c>
      <c r="D9" s="40"/>
      <c r="E9" s="52">
        <v>9458357</v>
      </c>
    </row>
    <row r="10" spans="3:8" x14ac:dyDescent="0.2">
      <c r="C10" s="38" t="s">
        <v>42</v>
      </c>
      <c r="D10" s="41" t="s">
        <v>52</v>
      </c>
      <c r="E10" s="52">
        <v>310.3</v>
      </c>
    </row>
    <row r="11" spans="3:8" x14ac:dyDescent="0.2">
      <c r="C11" s="38" t="s">
        <v>48</v>
      </c>
      <c r="D11" s="41" t="s">
        <v>52</v>
      </c>
      <c r="E11" s="53">
        <v>519.51700000000005</v>
      </c>
    </row>
    <row r="12" spans="3:8" x14ac:dyDescent="0.2">
      <c r="C12" s="38" t="s">
        <v>49</v>
      </c>
      <c r="D12" s="41" t="s">
        <v>52</v>
      </c>
      <c r="E12" s="52">
        <v>4139.3</v>
      </c>
    </row>
    <row r="13" spans="3:8" x14ac:dyDescent="0.2">
      <c r="C13" s="38" t="s">
        <v>50</v>
      </c>
      <c r="D13" s="41" t="s">
        <v>52</v>
      </c>
      <c r="E13" s="52">
        <v>221.4</v>
      </c>
    </row>
    <row r="14" spans="3:8" ht="15" customHeight="1" x14ac:dyDescent="0.2">
      <c r="C14" s="38" t="s">
        <v>51</v>
      </c>
      <c r="D14" s="41"/>
      <c r="E14" s="52">
        <v>19529694</v>
      </c>
      <c r="F14" s="114" t="s">
        <v>123</v>
      </c>
      <c r="G14" s="115"/>
      <c r="H14" s="115"/>
    </row>
    <row r="16" spans="3:8" x14ac:dyDescent="0.2">
      <c r="C16" s="42" t="s">
        <v>55</v>
      </c>
      <c r="D16" s="42" t="s">
        <v>66</v>
      </c>
      <c r="E16" s="42" t="s">
        <v>77</v>
      </c>
    </row>
    <row r="17" spans="3:6" x14ac:dyDescent="0.2">
      <c r="C17" s="38" t="s">
        <v>81</v>
      </c>
      <c r="D17" s="38" t="s">
        <v>67</v>
      </c>
      <c r="E17" s="38">
        <f>E6/E7</f>
        <v>1.1295175123436492</v>
      </c>
    </row>
    <row r="18" spans="3:6" x14ac:dyDescent="0.2">
      <c r="C18" s="38" t="s">
        <v>79</v>
      </c>
      <c r="D18" s="38" t="s">
        <v>68</v>
      </c>
      <c r="E18" s="38">
        <f>(E6-E5)/E7</f>
        <v>1.1294865328965034</v>
      </c>
    </row>
    <row r="19" spans="3:6" x14ac:dyDescent="0.2">
      <c r="C19" s="38" t="s">
        <v>58</v>
      </c>
      <c r="D19" s="38" t="s">
        <v>69</v>
      </c>
      <c r="E19" s="38">
        <f>E9/E8</f>
        <v>0.32628468191945709</v>
      </c>
    </row>
    <row r="20" spans="3:6" x14ac:dyDescent="0.2">
      <c r="C20" s="38" t="s">
        <v>82</v>
      </c>
      <c r="D20" s="38" t="s">
        <v>70</v>
      </c>
      <c r="E20" s="38">
        <f>E10/E11</f>
        <v>0.59728555562185637</v>
      </c>
    </row>
    <row r="21" spans="3:6" x14ac:dyDescent="0.2">
      <c r="C21" s="38" t="s">
        <v>60</v>
      </c>
      <c r="D21" s="38" t="s">
        <v>71</v>
      </c>
      <c r="E21" s="38">
        <f>E3/E5</f>
        <v>14554.547224697157</v>
      </c>
    </row>
    <row r="22" spans="3:6" x14ac:dyDescent="0.2">
      <c r="C22" s="38" t="s">
        <v>61</v>
      </c>
      <c r="D22" s="38" t="s">
        <v>72</v>
      </c>
      <c r="E22" s="38">
        <f>E4/(E3/360)</f>
        <v>167.48094691568886</v>
      </c>
    </row>
    <row r="23" spans="3:6" x14ac:dyDescent="0.2">
      <c r="C23" s="38" t="s">
        <v>62</v>
      </c>
      <c r="D23" s="38" t="s">
        <v>73</v>
      </c>
      <c r="E23" s="38">
        <f>E3/E8</f>
        <v>8.5092336839065169E-2</v>
      </c>
    </row>
    <row r="24" spans="3:6" x14ac:dyDescent="0.2">
      <c r="C24" s="38" t="s">
        <v>63</v>
      </c>
      <c r="D24" s="38" t="s">
        <v>74</v>
      </c>
      <c r="E24" s="38">
        <f>4139000000/2466661</f>
        <v>1677.9768277846044</v>
      </c>
    </row>
    <row r="25" spans="3:6" x14ac:dyDescent="0.2">
      <c r="C25" s="38" t="s">
        <v>64</v>
      </c>
      <c r="D25" s="38" t="s">
        <v>75</v>
      </c>
      <c r="E25" s="38">
        <f>E13/E8</f>
        <v>7.6376297254341108E-6</v>
      </c>
    </row>
    <row r="26" spans="3:6" x14ac:dyDescent="0.2">
      <c r="C26" s="38" t="s">
        <v>65</v>
      </c>
      <c r="D26" s="38" t="s">
        <v>76</v>
      </c>
      <c r="E26" s="38">
        <f>E12/E14</f>
        <v>2.1194904538698867E-4</v>
      </c>
    </row>
    <row r="31" spans="3:6" x14ac:dyDescent="0.2">
      <c r="F31" s="37"/>
    </row>
  </sheetData>
  <mergeCells count="2">
    <mergeCell ref="C1:E1"/>
    <mergeCell ref="F14:H1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F108-9EC8-45E9-A9BA-8712DA84C10D}">
  <sheetPr codeName="Hoja5">
    <tabColor theme="3" tint="0.39997558519241921"/>
  </sheetPr>
  <dimension ref="E7:K19"/>
  <sheetViews>
    <sheetView workbookViewId="0"/>
  </sheetViews>
  <sheetFormatPr baseColWidth="10" defaultRowHeight="15" x14ac:dyDescent="0.25"/>
  <cols>
    <col min="1" max="16384" width="11.42578125" style="13"/>
  </cols>
  <sheetData>
    <row r="7" spans="5:11" ht="16.5" x14ac:dyDescent="0.25">
      <c r="E7" s="116" t="s">
        <v>13</v>
      </c>
      <c r="F7" s="116"/>
      <c r="G7" s="116"/>
    </row>
    <row r="9" spans="5:11" x14ac:dyDescent="0.25">
      <c r="E9" s="22" t="s">
        <v>11</v>
      </c>
    </row>
    <row r="11" spans="5:11" x14ac:dyDescent="0.25">
      <c r="E11" s="22" t="s">
        <v>24</v>
      </c>
      <c r="K11" s="31" t="s">
        <v>38</v>
      </c>
    </row>
    <row r="12" spans="5:11" x14ac:dyDescent="0.25">
      <c r="E12" s="13" t="s">
        <v>25</v>
      </c>
    </row>
    <row r="13" spans="5:11" x14ac:dyDescent="0.25">
      <c r="E13" s="13" t="s">
        <v>26</v>
      </c>
    </row>
    <row r="15" spans="5:11" x14ac:dyDescent="0.25">
      <c r="E15" s="23" t="s">
        <v>27</v>
      </c>
    </row>
    <row r="16" spans="5:11" x14ac:dyDescent="0.25">
      <c r="K16" s="31" t="s">
        <v>77</v>
      </c>
    </row>
    <row r="19" spans="11:11" x14ac:dyDescent="0.25">
      <c r="K19" s="31"/>
    </row>
  </sheetData>
  <mergeCells count="1">
    <mergeCell ref="E7:G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F1AAA-8DA7-4E54-BD45-8AFB018B286D}">
  <sheetPr codeName="Hoja10">
    <tabColor theme="0"/>
  </sheetPr>
  <dimension ref="C1:H26"/>
  <sheetViews>
    <sheetView workbookViewId="0"/>
  </sheetViews>
  <sheetFormatPr baseColWidth="10" defaultColWidth="12" defaultRowHeight="14.25" x14ac:dyDescent="0.2"/>
  <cols>
    <col min="1" max="2" width="12" style="23"/>
    <col min="3" max="3" width="39.85546875" style="23" bestFit="1" customWidth="1"/>
    <col min="4" max="4" width="60.5703125" style="23" bestFit="1" customWidth="1"/>
    <col min="5" max="5" width="14.85546875" style="23" bestFit="1" customWidth="1"/>
    <col min="6" max="16384" width="12" style="23"/>
  </cols>
  <sheetData>
    <row r="1" spans="3:8" x14ac:dyDescent="0.2">
      <c r="C1" s="117" t="s">
        <v>83</v>
      </c>
      <c r="D1" s="118"/>
      <c r="E1" s="119"/>
    </row>
    <row r="2" spans="3:8" x14ac:dyDescent="0.2">
      <c r="C2" s="43"/>
      <c r="D2" s="43"/>
      <c r="E2" s="44" t="s">
        <v>84</v>
      </c>
    </row>
    <row r="3" spans="3:8" x14ac:dyDescent="0.2">
      <c r="C3" s="43" t="s">
        <v>40</v>
      </c>
      <c r="D3" s="45"/>
      <c r="E3" s="54">
        <v>126133</v>
      </c>
    </row>
    <row r="4" spans="3:8" x14ac:dyDescent="0.2">
      <c r="C4" s="43" t="s">
        <v>43</v>
      </c>
      <c r="D4" s="45"/>
      <c r="E4" s="54">
        <v>239397</v>
      </c>
    </row>
    <row r="5" spans="3:8" x14ac:dyDescent="0.2">
      <c r="C5" s="43" t="s">
        <v>44</v>
      </c>
      <c r="D5" s="45"/>
      <c r="E5" s="55">
        <v>182317</v>
      </c>
    </row>
    <row r="6" spans="3:8" x14ac:dyDescent="0.2">
      <c r="C6" s="43" t="s">
        <v>41</v>
      </c>
      <c r="D6" s="45"/>
      <c r="E6" s="56">
        <v>425076</v>
      </c>
    </row>
    <row r="7" spans="3:8" x14ac:dyDescent="0.2">
      <c r="C7" s="43" t="s">
        <v>45</v>
      </c>
      <c r="D7" s="45"/>
      <c r="E7" s="57">
        <v>259510</v>
      </c>
    </row>
    <row r="8" spans="3:8" x14ac:dyDescent="0.2">
      <c r="C8" s="43" t="s">
        <v>46</v>
      </c>
      <c r="D8" s="45"/>
      <c r="E8" s="54">
        <v>754620</v>
      </c>
    </row>
    <row r="9" spans="3:8" x14ac:dyDescent="0.2">
      <c r="C9" s="43" t="s">
        <v>47</v>
      </c>
      <c r="D9" s="45"/>
      <c r="E9" s="54">
        <v>262706</v>
      </c>
    </row>
    <row r="10" spans="3:8" x14ac:dyDescent="0.2">
      <c r="C10" s="43" t="s">
        <v>42</v>
      </c>
      <c r="D10" s="46"/>
      <c r="E10" s="54">
        <v>33988</v>
      </c>
    </row>
    <row r="11" spans="3:8" x14ac:dyDescent="0.2">
      <c r="C11" s="43" t="s">
        <v>48</v>
      </c>
      <c r="D11" s="46"/>
      <c r="E11" s="54">
        <v>15735</v>
      </c>
    </row>
    <row r="12" spans="3:8" x14ac:dyDescent="0.2">
      <c r="C12" s="43" t="s">
        <v>49</v>
      </c>
      <c r="D12" s="46"/>
      <c r="E12" s="54">
        <v>15450</v>
      </c>
    </row>
    <row r="13" spans="3:8" x14ac:dyDescent="0.2">
      <c r="C13" s="43" t="s">
        <v>50</v>
      </c>
      <c r="D13" s="46"/>
      <c r="E13" s="54">
        <v>33988</v>
      </c>
    </row>
    <row r="14" spans="3:8" x14ac:dyDescent="0.2">
      <c r="C14" s="43" t="s">
        <v>51</v>
      </c>
      <c r="D14" s="46"/>
      <c r="E14" s="54">
        <v>491914</v>
      </c>
      <c r="F14" s="120" t="s">
        <v>123</v>
      </c>
      <c r="G14" s="121"/>
      <c r="H14" s="121"/>
    </row>
    <row r="16" spans="3:8" x14ac:dyDescent="0.2">
      <c r="C16" s="50" t="s">
        <v>55</v>
      </c>
      <c r="D16" s="50" t="s">
        <v>66</v>
      </c>
      <c r="E16" s="50" t="s">
        <v>77</v>
      </c>
    </row>
    <row r="17" spans="3:5" x14ac:dyDescent="0.2">
      <c r="C17" s="43" t="s">
        <v>81</v>
      </c>
      <c r="D17" s="43" t="s">
        <v>67</v>
      </c>
      <c r="E17" s="47">
        <f>E6/E7</f>
        <v>1.6379946822858464</v>
      </c>
    </row>
    <row r="18" spans="3:5" x14ac:dyDescent="0.2">
      <c r="C18" s="43" t="s">
        <v>79</v>
      </c>
      <c r="D18" s="43" t="s">
        <v>68</v>
      </c>
      <c r="E18" s="43">
        <f>(E6-E5)/E7</f>
        <v>0.93545142769064771</v>
      </c>
    </row>
    <row r="19" spans="3:5" x14ac:dyDescent="0.2">
      <c r="C19" s="43" t="s">
        <v>58</v>
      </c>
      <c r="D19" s="43" t="s">
        <v>69</v>
      </c>
      <c r="E19" s="48">
        <v>0.34</v>
      </c>
    </row>
    <row r="20" spans="3:5" x14ac:dyDescent="0.2">
      <c r="C20" s="43" t="s">
        <v>82</v>
      </c>
      <c r="D20" s="43" t="s">
        <v>70</v>
      </c>
      <c r="E20" s="43">
        <f>E10/E11</f>
        <v>2.1600254210359071</v>
      </c>
    </row>
    <row r="21" spans="3:5" x14ac:dyDescent="0.2">
      <c r="C21" s="43" t="s">
        <v>60</v>
      </c>
      <c r="D21" s="43" t="s">
        <v>71</v>
      </c>
      <c r="E21" s="43">
        <f>E3/E5</f>
        <v>0.69183345491643677</v>
      </c>
    </row>
    <row r="22" spans="3:5" x14ac:dyDescent="0.2">
      <c r="C22" s="43" t="s">
        <v>61</v>
      </c>
      <c r="D22" s="43" t="s">
        <v>72</v>
      </c>
      <c r="E22" s="43">
        <f>E4/(E3/360)</f>
        <v>683.27019891701616</v>
      </c>
    </row>
    <row r="23" spans="3:5" x14ac:dyDescent="0.2">
      <c r="C23" s="43" t="s">
        <v>62</v>
      </c>
      <c r="D23" s="43" t="s">
        <v>73</v>
      </c>
      <c r="E23" s="43">
        <f>E3/E8</f>
        <v>0.16714770347989716</v>
      </c>
    </row>
    <row r="24" spans="3:5" x14ac:dyDescent="0.2">
      <c r="C24" s="43" t="s">
        <v>63</v>
      </c>
      <c r="D24" s="43" t="s">
        <v>74</v>
      </c>
      <c r="E24" s="49">
        <f>E12/E3</f>
        <v>0.12248975287989662</v>
      </c>
    </row>
    <row r="25" spans="3:5" x14ac:dyDescent="0.2">
      <c r="C25" s="43" t="s">
        <v>64</v>
      </c>
      <c r="D25" s="43" t="s">
        <v>75</v>
      </c>
      <c r="E25" s="49">
        <f>E13/E8</f>
        <v>4.5039887625559882E-2</v>
      </c>
    </row>
    <row r="26" spans="3:5" x14ac:dyDescent="0.2">
      <c r="C26" s="43" t="s">
        <v>65</v>
      </c>
      <c r="D26" s="43" t="s">
        <v>76</v>
      </c>
      <c r="E26" s="49">
        <f>E12/E14</f>
        <v>3.1407929028244776E-2</v>
      </c>
    </row>
  </sheetData>
  <mergeCells count="2">
    <mergeCell ref="C1:E1"/>
    <mergeCell ref="F14:H1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5D825-7EF6-42A7-9631-0A1B32896CF6}">
  <sheetPr codeName="Hoja6">
    <tabColor theme="9"/>
  </sheetPr>
  <dimension ref="E8:K19"/>
  <sheetViews>
    <sheetView workbookViewId="0"/>
  </sheetViews>
  <sheetFormatPr baseColWidth="10" defaultRowHeight="15" x14ac:dyDescent="0.25"/>
  <cols>
    <col min="1" max="16384" width="11.42578125" style="14"/>
  </cols>
  <sheetData>
    <row r="8" spans="5:11" ht="16.5" x14ac:dyDescent="0.25">
      <c r="E8" s="122" t="s">
        <v>13</v>
      </c>
      <c r="F8" s="122"/>
      <c r="G8" s="122"/>
    </row>
    <row r="10" spans="5:11" x14ac:dyDescent="0.25">
      <c r="E10" s="17" t="s">
        <v>11</v>
      </c>
    </row>
    <row r="11" spans="5:11" x14ac:dyDescent="0.25">
      <c r="K11" s="32" t="s">
        <v>38</v>
      </c>
    </row>
    <row r="12" spans="5:11" x14ac:dyDescent="0.25">
      <c r="E12" s="17" t="s">
        <v>29</v>
      </c>
    </row>
    <row r="13" spans="5:11" x14ac:dyDescent="0.25">
      <c r="E13" s="14" t="s">
        <v>30</v>
      </c>
    </row>
    <row r="14" spans="5:11" x14ac:dyDescent="0.25">
      <c r="E14" s="14" t="s">
        <v>31</v>
      </c>
    </row>
    <row r="15" spans="5:11" x14ac:dyDescent="0.25">
      <c r="E15" s="14" t="s">
        <v>32</v>
      </c>
    </row>
    <row r="16" spans="5:11" x14ac:dyDescent="0.25">
      <c r="E16" s="14" t="s">
        <v>33</v>
      </c>
      <c r="K16" s="32" t="s">
        <v>77</v>
      </c>
    </row>
    <row r="18" spans="5:11" x14ac:dyDescent="0.25">
      <c r="E18" s="18" t="s">
        <v>28</v>
      </c>
    </row>
    <row r="19" spans="5:11" x14ac:dyDescent="0.25">
      <c r="K19" s="32"/>
    </row>
  </sheetData>
  <mergeCells count="1">
    <mergeCell ref="E8:G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884E8-0074-4D01-A300-AED32DF581AA}">
  <sheetPr codeName="Hoja11">
    <tabColor theme="0"/>
  </sheetPr>
  <dimension ref="B2:H29"/>
  <sheetViews>
    <sheetView workbookViewId="0"/>
  </sheetViews>
  <sheetFormatPr baseColWidth="10" defaultColWidth="12" defaultRowHeight="15" customHeight="1" x14ac:dyDescent="0.2"/>
  <cols>
    <col min="1" max="1" width="12" style="18" customWidth="1"/>
    <col min="2" max="2" width="30.42578125" style="18" bestFit="1" customWidth="1"/>
    <col min="3" max="3" width="31.85546875" style="18" bestFit="1" customWidth="1"/>
    <col min="4" max="4" width="48.7109375" style="18" bestFit="1" customWidth="1"/>
    <col min="5" max="5" width="15.140625" style="18" bestFit="1" customWidth="1"/>
    <col min="6" max="8" width="12" style="18" customWidth="1"/>
    <col min="9" max="16384" width="12" style="18"/>
  </cols>
  <sheetData>
    <row r="2" spans="2:8" ht="15" customHeight="1" x14ac:dyDescent="0.2">
      <c r="B2" s="123" t="s">
        <v>85</v>
      </c>
      <c r="C2" s="124"/>
      <c r="D2" s="124"/>
      <c r="E2" s="125"/>
    </row>
    <row r="3" spans="2:8" ht="15" customHeight="1" x14ac:dyDescent="0.2">
      <c r="B3" s="62" t="s">
        <v>92</v>
      </c>
      <c r="C3" s="63">
        <v>2284244</v>
      </c>
      <c r="D3" s="60" t="s">
        <v>102</v>
      </c>
      <c r="E3" s="61">
        <v>10725101</v>
      </c>
    </row>
    <row r="4" spans="2:8" ht="14.25" x14ac:dyDescent="0.2">
      <c r="B4" s="66" t="s">
        <v>93</v>
      </c>
      <c r="C4" s="67">
        <v>253647</v>
      </c>
      <c r="D4" s="64" t="s">
        <v>103</v>
      </c>
      <c r="E4" s="65">
        <v>9043761</v>
      </c>
    </row>
    <row r="5" spans="2:8" ht="15" customHeight="1" x14ac:dyDescent="0.2">
      <c r="B5" s="62" t="s">
        <v>94</v>
      </c>
      <c r="C5" s="63">
        <v>4474925</v>
      </c>
      <c r="D5" s="62" t="s">
        <v>104</v>
      </c>
      <c r="E5" s="61">
        <v>1681310</v>
      </c>
    </row>
    <row r="6" spans="2:8" ht="15" customHeight="1" x14ac:dyDescent="0.2">
      <c r="B6" s="66" t="s">
        <v>95</v>
      </c>
      <c r="C6" s="67">
        <v>2242195</v>
      </c>
      <c r="D6" s="62" t="s">
        <v>105</v>
      </c>
      <c r="E6" s="61">
        <v>748006</v>
      </c>
    </row>
    <row r="7" spans="2:8" ht="15" customHeight="1" x14ac:dyDescent="0.2">
      <c r="B7" s="66" t="s">
        <v>96</v>
      </c>
      <c r="C7" s="67">
        <v>9255011</v>
      </c>
      <c r="D7" s="66" t="s">
        <v>106</v>
      </c>
      <c r="E7" s="65">
        <v>569269</v>
      </c>
    </row>
    <row r="8" spans="2:8" ht="15" customHeight="1" x14ac:dyDescent="0.2">
      <c r="B8" s="66" t="s">
        <v>97</v>
      </c>
      <c r="C8" s="67">
        <v>28376396</v>
      </c>
      <c r="D8" s="62" t="s">
        <v>107</v>
      </c>
      <c r="E8" s="61">
        <v>740519</v>
      </c>
    </row>
    <row r="9" spans="2:8" ht="15" customHeight="1" x14ac:dyDescent="0.2">
      <c r="B9" s="62" t="s">
        <v>98</v>
      </c>
      <c r="C9" s="63">
        <v>898918</v>
      </c>
      <c r="D9" s="66" t="s">
        <v>108</v>
      </c>
      <c r="E9" s="65">
        <v>2215907</v>
      </c>
    </row>
    <row r="10" spans="2:8" ht="15" customHeight="1" x14ac:dyDescent="0.2">
      <c r="B10" s="66" t="s">
        <v>99</v>
      </c>
      <c r="C10" s="67">
        <v>3481473</v>
      </c>
      <c r="D10" s="59"/>
      <c r="E10" s="59"/>
    </row>
    <row r="11" spans="2:8" ht="15" customHeight="1" x14ac:dyDescent="0.2">
      <c r="B11" s="66" t="s">
        <v>101</v>
      </c>
      <c r="C11" s="67">
        <v>11225339</v>
      </c>
      <c r="D11" s="59"/>
      <c r="E11" s="59"/>
    </row>
    <row r="12" spans="2:8" ht="15" customHeight="1" x14ac:dyDescent="0.2">
      <c r="B12" s="66" t="s">
        <v>86</v>
      </c>
      <c r="C12" s="67">
        <v>13546962</v>
      </c>
      <c r="D12" s="59"/>
      <c r="E12" s="59"/>
    </row>
    <row r="13" spans="2:8" ht="15" customHeight="1" x14ac:dyDescent="0.2">
      <c r="B13" s="62" t="s">
        <v>87</v>
      </c>
      <c r="C13" s="63">
        <v>24772301</v>
      </c>
      <c r="D13" s="59"/>
      <c r="E13" s="59"/>
    </row>
    <row r="14" spans="2:8" ht="15" customHeight="1" x14ac:dyDescent="0.2">
      <c r="B14" s="66" t="s">
        <v>88</v>
      </c>
      <c r="C14" s="67">
        <v>4000000</v>
      </c>
      <c r="D14" s="59"/>
      <c r="E14" s="59"/>
      <c r="F14" s="126" t="s">
        <v>124</v>
      </c>
      <c r="G14" s="127"/>
      <c r="H14" s="127"/>
    </row>
    <row r="15" spans="2:8" ht="15" customHeight="1" x14ac:dyDescent="0.2">
      <c r="B15" s="62" t="s">
        <v>89</v>
      </c>
      <c r="C15" s="63">
        <v>715364</v>
      </c>
      <c r="D15" s="59"/>
      <c r="E15" s="59"/>
    </row>
    <row r="16" spans="2:8" ht="15" customHeight="1" x14ac:dyDescent="0.2">
      <c r="B16" s="66" t="s">
        <v>90</v>
      </c>
      <c r="C16" s="67">
        <v>3284636</v>
      </c>
      <c r="D16" s="59"/>
      <c r="E16" s="59"/>
    </row>
    <row r="17" spans="2:5" ht="15" customHeight="1" x14ac:dyDescent="0.2">
      <c r="B17" s="62" t="s">
        <v>91</v>
      </c>
      <c r="C17" s="63">
        <v>28376396</v>
      </c>
      <c r="D17" s="59"/>
      <c r="E17" s="59"/>
    </row>
    <row r="18" spans="2:5" ht="15" customHeight="1" x14ac:dyDescent="0.2">
      <c r="D18" s="73"/>
      <c r="E18" s="73"/>
    </row>
    <row r="19" spans="2:5" ht="15" customHeight="1" x14ac:dyDescent="0.2">
      <c r="C19" s="68" t="s">
        <v>55</v>
      </c>
      <c r="D19" s="68" t="s">
        <v>66</v>
      </c>
      <c r="E19" s="68" t="s">
        <v>77</v>
      </c>
    </row>
    <row r="20" spans="2:5" ht="15" customHeight="1" x14ac:dyDescent="0.2">
      <c r="C20" s="62" t="s">
        <v>56</v>
      </c>
      <c r="D20" s="62" t="s">
        <v>67</v>
      </c>
      <c r="E20" s="69">
        <f>C7/C11</f>
        <v>0.82447496685846189</v>
      </c>
    </row>
    <row r="21" spans="2:5" ht="15" customHeight="1" x14ac:dyDescent="0.2">
      <c r="C21" s="66" t="s">
        <v>57</v>
      </c>
      <c r="D21" s="66" t="s">
        <v>116</v>
      </c>
      <c r="E21" s="69">
        <f>(C7-C6)/C11</f>
        <v>0.62473088786004594</v>
      </c>
    </row>
    <row r="22" spans="2:5" ht="15" customHeight="1" x14ac:dyDescent="0.2">
      <c r="C22" s="62" t="s">
        <v>58</v>
      </c>
      <c r="D22" s="62" t="s">
        <v>109</v>
      </c>
      <c r="E22" s="69">
        <f>C13/C8</f>
        <v>0.87298968480704875</v>
      </c>
    </row>
    <row r="23" spans="2:5" ht="15" customHeight="1" x14ac:dyDescent="0.2">
      <c r="C23" s="66" t="s">
        <v>59</v>
      </c>
      <c r="D23" s="66" t="s">
        <v>110</v>
      </c>
      <c r="E23" s="70">
        <f>C13/C15</f>
        <v>34.62894554380707</v>
      </c>
    </row>
    <row r="24" spans="2:5" ht="15" customHeight="1" x14ac:dyDescent="0.2">
      <c r="C24" s="62" t="s">
        <v>60</v>
      </c>
      <c r="D24" s="62" t="s">
        <v>111</v>
      </c>
      <c r="E24" s="70">
        <f>E3/C6</f>
        <v>4.7833043067173016</v>
      </c>
    </row>
    <row r="25" spans="2:5" ht="15" customHeight="1" x14ac:dyDescent="0.2">
      <c r="C25" s="66" t="s">
        <v>61</v>
      </c>
      <c r="D25" s="66" t="s">
        <v>72</v>
      </c>
      <c r="E25" s="69">
        <f>C5/(E3/360)</f>
        <v>150.20585820124211</v>
      </c>
    </row>
    <row r="26" spans="2:5" ht="15" customHeight="1" x14ac:dyDescent="0.2">
      <c r="C26" s="62" t="s">
        <v>62</v>
      </c>
      <c r="D26" s="62" t="s">
        <v>112</v>
      </c>
      <c r="E26" s="69">
        <f>E3/C8</f>
        <v>0.37795853285949349</v>
      </c>
    </row>
    <row r="27" spans="2:5" ht="15" customHeight="1" x14ac:dyDescent="0.2">
      <c r="C27" s="66" t="s">
        <v>63</v>
      </c>
      <c r="D27" s="71" t="s">
        <v>113</v>
      </c>
      <c r="E27" s="69">
        <f>E3/E4</f>
        <v>1.1859115914275045</v>
      </c>
    </row>
    <row r="28" spans="2:5" ht="15" customHeight="1" x14ac:dyDescent="0.2">
      <c r="C28" s="62" t="s">
        <v>64</v>
      </c>
      <c r="D28" s="72" t="s">
        <v>114</v>
      </c>
      <c r="E28" s="69">
        <f>E9/C8</f>
        <v>7.8089796886116197E-2</v>
      </c>
    </row>
    <row r="29" spans="2:5" ht="15" customHeight="1" x14ac:dyDescent="0.2">
      <c r="C29" s="71" t="s">
        <v>65</v>
      </c>
      <c r="D29" s="71" t="s">
        <v>115</v>
      </c>
      <c r="E29" s="69">
        <f>E3/C14</f>
        <v>2.6812752500000001</v>
      </c>
    </row>
  </sheetData>
  <mergeCells count="2">
    <mergeCell ref="B2:E2"/>
    <mergeCell ref="F14:H1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D8288-F2CE-44E8-B1A7-FAD2F12D6ED5}">
  <sheetPr codeName="Hoja7">
    <tabColor rgb="FFC00000"/>
  </sheetPr>
  <dimension ref="A2:K19"/>
  <sheetViews>
    <sheetView workbookViewId="0"/>
  </sheetViews>
  <sheetFormatPr baseColWidth="10" defaultRowHeight="15" x14ac:dyDescent="0.25"/>
  <cols>
    <col min="1" max="16384" width="11.42578125" style="15"/>
  </cols>
  <sheetData>
    <row r="2" spans="1:11" x14ac:dyDescent="0.25">
      <c r="A2" s="16"/>
    </row>
    <row r="7" spans="1:11" ht="16.5" x14ac:dyDescent="0.25">
      <c r="E7" s="128" t="s">
        <v>13</v>
      </c>
      <c r="F7" s="128"/>
      <c r="G7" s="128"/>
      <c r="H7" s="24"/>
    </row>
    <row r="8" spans="1:11" x14ac:dyDescent="0.25">
      <c r="E8" s="25"/>
    </row>
    <row r="9" spans="1:11" x14ac:dyDescent="0.25">
      <c r="E9" s="26" t="s">
        <v>11</v>
      </c>
    </row>
    <row r="10" spans="1:11" x14ac:dyDescent="0.25">
      <c r="E10" s="25"/>
    </row>
    <row r="11" spans="1:11" x14ac:dyDescent="0.25">
      <c r="E11" s="26" t="s">
        <v>35</v>
      </c>
      <c r="K11" s="33" t="s">
        <v>38</v>
      </c>
    </row>
    <row r="12" spans="1:11" x14ac:dyDescent="0.25">
      <c r="E12" s="25" t="s">
        <v>36</v>
      </c>
    </row>
    <row r="13" spans="1:11" x14ac:dyDescent="0.25">
      <c r="E13" s="29" t="s">
        <v>37</v>
      </c>
    </row>
    <row r="14" spans="1:11" x14ac:dyDescent="0.25">
      <c r="E14" s="25"/>
    </row>
    <row r="15" spans="1:11" x14ac:dyDescent="0.25">
      <c r="E15" s="27" t="s">
        <v>34</v>
      </c>
    </row>
    <row r="16" spans="1:11" x14ac:dyDescent="0.25">
      <c r="K16" s="33" t="s">
        <v>77</v>
      </c>
    </row>
    <row r="19" spans="11:11" x14ac:dyDescent="0.25">
      <c r="K19" s="33"/>
    </row>
  </sheetData>
  <mergeCells count="1">
    <mergeCell ref="E7:G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FD651-F8F1-4CF2-86A5-57AF535129CA}">
  <sheetPr codeName="Hoja12">
    <tabColor theme="0"/>
  </sheetPr>
  <dimension ref="B2:H34"/>
  <sheetViews>
    <sheetView zoomScaleNormal="100" workbookViewId="0"/>
  </sheetViews>
  <sheetFormatPr baseColWidth="10" defaultColWidth="12" defaultRowHeight="15" customHeight="1" x14ac:dyDescent="0.2"/>
  <cols>
    <col min="1" max="1" width="12" style="74"/>
    <col min="2" max="2" width="43.5703125" style="74" bestFit="1" customWidth="1"/>
    <col min="3" max="3" width="31.85546875" style="74" bestFit="1" customWidth="1"/>
    <col min="4" max="4" width="48.7109375" style="74" bestFit="1" customWidth="1"/>
    <col min="5" max="5" width="15" style="74" bestFit="1" customWidth="1"/>
    <col min="6" max="16384" width="12" style="74"/>
  </cols>
  <sheetData>
    <row r="2" spans="2:8" ht="15" customHeight="1" x14ac:dyDescent="0.2">
      <c r="B2" s="129" t="s">
        <v>122</v>
      </c>
      <c r="C2" s="129"/>
      <c r="D2" s="129"/>
      <c r="E2" s="129"/>
    </row>
    <row r="3" spans="2:8" ht="15" customHeight="1" x14ac:dyDescent="0.2">
      <c r="B3" s="76" t="s">
        <v>92</v>
      </c>
      <c r="C3" s="77">
        <v>3123955</v>
      </c>
      <c r="D3" s="76" t="s">
        <v>121</v>
      </c>
      <c r="E3" s="78">
        <v>3106161</v>
      </c>
    </row>
    <row r="4" spans="2:8" ht="15" customHeight="1" x14ac:dyDescent="0.2">
      <c r="B4" s="76" t="s">
        <v>93</v>
      </c>
      <c r="C4" s="77">
        <v>261827</v>
      </c>
      <c r="D4" s="79" t="s">
        <v>103</v>
      </c>
      <c r="E4" s="80">
        <v>1582877</v>
      </c>
    </row>
    <row r="5" spans="2:8" ht="15" customHeight="1" x14ac:dyDescent="0.2">
      <c r="B5" s="79" t="s">
        <v>117</v>
      </c>
      <c r="C5" s="81">
        <v>56776</v>
      </c>
      <c r="D5" s="76" t="s">
        <v>104</v>
      </c>
      <c r="E5" s="78">
        <v>1523284</v>
      </c>
    </row>
    <row r="6" spans="2:8" ht="15" customHeight="1" x14ac:dyDescent="0.2">
      <c r="B6" s="76" t="s">
        <v>94</v>
      </c>
      <c r="C6" s="77">
        <v>3558183</v>
      </c>
      <c r="D6" s="76" t="s">
        <v>105</v>
      </c>
      <c r="E6" s="78">
        <v>1423167</v>
      </c>
    </row>
    <row r="7" spans="2:8" ht="15" customHeight="1" x14ac:dyDescent="0.2">
      <c r="B7" s="79" t="s">
        <v>95</v>
      </c>
      <c r="C7" s="81">
        <v>78720</v>
      </c>
      <c r="D7" s="79" t="s">
        <v>106</v>
      </c>
      <c r="E7" s="80">
        <v>2018521</v>
      </c>
    </row>
    <row r="8" spans="2:8" ht="15" customHeight="1" x14ac:dyDescent="0.2">
      <c r="B8" s="79" t="s">
        <v>96</v>
      </c>
      <c r="C8" s="81">
        <v>7079461</v>
      </c>
      <c r="D8" s="76" t="s">
        <v>132</v>
      </c>
      <c r="E8" s="78">
        <v>936334</v>
      </c>
    </row>
    <row r="9" spans="2:8" ht="15" customHeight="1" x14ac:dyDescent="0.2">
      <c r="B9" s="79" t="s">
        <v>97</v>
      </c>
      <c r="C9" s="81">
        <v>23703845</v>
      </c>
      <c r="D9" s="79" t="s">
        <v>108</v>
      </c>
      <c r="E9" s="80">
        <v>599395</v>
      </c>
    </row>
    <row r="10" spans="2:8" ht="15" customHeight="1" x14ac:dyDescent="0.2">
      <c r="B10" s="79" t="s">
        <v>118</v>
      </c>
      <c r="C10" s="81">
        <v>2952049</v>
      </c>
      <c r="D10" s="82"/>
      <c r="E10" s="82"/>
    </row>
    <row r="11" spans="2:8" ht="15" customHeight="1" x14ac:dyDescent="0.2">
      <c r="B11" s="76" t="s">
        <v>119</v>
      </c>
      <c r="C11" s="77">
        <v>1763376</v>
      </c>
      <c r="D11" s="82"/>
      <c r="E11" s="82"/>
    </row>
    <row r="12" spans="2:8" ht="15" customHeight="1" x14ac:dyDescent="0.2">
      <c r="B12" s="79" t="s">
        <v>120</v>
      </c>
      <c r="C12" s="81">
        <v>294749</v>
      </c>
      <c r="D12" s="82"/>
      <c r="E12" s="82"/>
    </row>
    <row r="13" spans="2:8" ht="15" customHeight="1" x14ac:dyDescent="0.2">
      <c r="B13" s="76" t="s">
        <v>98</v>
      </c>
      <c r="C13" s="77">
        <v>375891</v>
      </c>
      <c r="D13" s="82"/>
      <c r="E13" s="82"/>
    </row>
    <row r="14" spans="2:8" ht="15" customHeight="1" x14ac:dyDescent="0.2">
      <c r="B14" s="79" t="s">
        <v>99</v>
      </c>
      <c r="C14" s="81">
        <v>639409</v>
      </c>
      <c r="D14" s="82"/>
      <c r="E14" s="82"/>
      <c r="F14" s="130" t="s">
        <v>123</v>
      </c>
      <c r="G14" s="131"/>
      <c r="H14" s="131"/>
    </row>
    <row r="15" spans="2:8" ht="15" customHeight="1" x14ac:dyDescent="0.2">
      <c r="B15" s="76" t="s">
        <v>100</v>
      </c>
      <c r="C15" s="77">
        <v>18417</v>
      </c>
      <c r="D15" s="82"/>
      <c r="E15" s="82"/>
    </row>
    <row r="16" spans="2:8" ht="15" customHeight="1" x14ac:dyDescent="0.2">
      <c r="B16" s="79" t="s">
        <v>101</v>
      </c>
      <c r="C16" s="81">
        <v>6043891</v>
      </c>
      <c r="D16" s="82"/>
      <c r="E16" s="82"/>
    </row>
    <row r="17" spans="2:5" ht="15" customHeight="1" x14ac:dyDescent="0.2">
      <c r="B17" s="79" t="s">
        <v>86</v>
      </c>
      <c r="C17" s="81">
        <v>14164681</v>
      </c>
      <c r="D17" s="82"/>
      <c r="E17" s="82"/>
    </row>
    <row r="18" spans="2:5" ht="15" customHeight="1" x14ac:dyDescent="0.2">
      <c r="B18" s="76" t="s">
        <v>87</v>
      </c>
      <c r="C18" s="77">
        <v>20208572</v>
      </c>
      <c r="D18" s="82"/>
      <c r="E18" s="82"/>
    </row>
    <row r="19" spans="2:5" ht="15" customHeight="1" x14ac:dyDescent="0.2">
      <c r="B19" s="79" t="s">
        <v>88</v>
      </c>
      <c r="C19" s="81">
        <v>34955273</v>
      </c>
      <c r="D19" s="82"/>
      <c r="E19" s="82"/>
    </row>
    <row r="20" spans="2:5" ht="15" customHeight="1" x14ac:dyDescent="0.2">
      <c r="B20" s="76" t="s">
        <v>89</v>
      </c>
      <c r="C20" s="77">
        <v>464368</v>
      </c>
      <c r="D20" s="82"/>
      <c r="E20" s="82"/>
    </row>
    <row r="21" spans="2:5" ht="15" customHeight="1" x14ac:dyDescent="0.2">
      <c r="B21" s="79" t="s">
        <v>90</v>
      </c>
      <c r="C21" s="81">
        <v>3030905</v>
      </c>
      <c r="D21" s="82"/>
      <c r="E21" s="82"/>
    </row>
    <row r="22" spans="2:5" ht="15" customHeight="1" x14ac:dyDescent="0.2">
      <c r="B22" s="76" t="s">
        <v>91</v>
      </c>
      <c r="C22" s="77">
        <v>23703845</v>
      </c>
      <c r="D22" s="82"/>
      <c r="E22" s="82"/>
    </row>
    <row r="24" spans="2:5" ht="15" customHeight="1" x14ac:dyDescent="0.2">
      <c r="C24" s="75" t="s">
        <v>55</v>
      </c>
      <c r="D24" s="75" t="s">
        <v>66</v>
      </c>
      <c r="E24" s="75" t="s">
        <v>77</v>
      </c>
    </row>
    <row r="25" spans="2:5" ht="15" customHeight="1" x14ac:dyDescent="0.2">
      <c r="C25" s="76" t="s">
        <v>56</v>
      </c>
      <c r="D25" s="76" t="s">
        <v>67</v>
      </c>
      <c r="E25" s="82">
        <f>C8/C16</f>
        <v>1.1713416075835914</v>
      </c>
    </row>
    <row r="26" spans="2:5" ht="15" customHeight="1" x14ac:dyDescent="0.2">
      <c r="C26" s="79" t="s">
        <v>57</v>
      </c>
      <c r="D26" s="79" t="s">
        <v>116</v>
      </c>
      <c r="E26" s="82">
        <f>(C8-C7)/C16</f>
        <v>1.1583168855957198</v>
      </c>
    </row>
    <row r="27" spans="2:5" ht="15" customHeight="1" x14ac:dyDescent="0.2">
      <c r="C27" s="76" t="s">
        <v>58</v>
      </c>
      <c r="D27" s="76" t="s">
        <v>109</v>
      </c>
      <c r="E27" s="82">
        <f>C18/C9</f>
        <v>0.85254404928820615</v>
      </c>
    </row>
    <row r="28" spans="2:5" ht="15" customHeight="1" x14ac:dyDescent="0.2">
      <c r="C28" s="79" t="s">
        <v>59</v>
      </c>
      <c r="D28" s="79" t="s">
        <v>110</v>
      </c>
      <c r="E28" s="82">
        <f>C18/C20</f>
        <v>43.518442269923852</v>
      </c>
    </row>
    <row r="29" spans="2:5" ht="15" customHeight="1" x14ac:dyDescent="0.2">
      <c r="C29" s="76" t="s">
        <v>60</v>
      </c>
      <c r="D29" s="76" t="s">
        <v>111</v>
      </c>
      <c r="E29" s="82">
        <f>E4/C7</f>
        <v>20.107685467479676</v>
      </c>
    </row>
    <row r="30" spans="2:5" ht="15" customHeight="1" x14ac:dyDescent="0.2">
      <c r="C30" s="79" t="s">
        <v>61</v>
      </c>
      <c r="D30" s="79" t="s">
        <v>72</v>
      </c>
      <c r="E30" s="82">
        <f>C6/(E4/360)</f>
        <v>809.25168538048126</v>
      </c>
    </row>
    <row r="31" spans="2:5" ht="15" customHeight="1" x14ac:dyDescent="0.2">
      <c r="C31" s="76" t="s">
        <v>62</v>
      </c>
      <c r="D31" s="76" t="s">
        <v>112</v>
      </c>
      <c r="E31" s="82">
        <f>E4/C9</f>
        <v>6.6777225382633074E-2</v>
      </c>
    </row>
    <row r="32" spans="2:5" ht="15" customHeight="1" x14ac:dyDescent="0.2">
      <c r="C32" s="79" t="s">
        <v>63</v>
      </c>
      <c r="D32" s="83" t="s">
        <v>113</v>
      </c>
      <c r="E32" s="82">
        <f>E3/E4</f>
        <v>1.962351465085411</v>
      </c>
    </row>
    <row r="33" spans="3:5" ht="15" customHeight="1" x14ac:dyDescent="0.2">
      <c r="C33" s="76" t="s">
        <v>64</v>
      </c>
      <c r="D33" s="84" t="s">
        <v>114</v>
      </c>
      <c r="E33" s="82">
        <f>E9/C9</f>
        <v>2.5286825829311656E-2</v>
      </c>
    </row>
    <row r="34" spans="3:5" ht="15" customHeight="1" x14ac:dyDescent="0.2">
      <c r="C34" s="83" t="s">
        <v>65</v>
      </c>
      <c r="D34" s="83" t="s">
        <v>115</v>
      </c>
      <c r="E34" s="82">
        <f>E3/C19</f>
        <v>8.8861013901965519E-2</v>
      </c>
    </row>
  </sheetData>
  <mergeCells count="2">
    <mergeCell ref="B2:E2"/>
    <mergeCell ref="F14:H14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4254-D9C3-4AC0-90FA-5BFA9859DF5A}">
  <sheetPr codeName="Hoja13"/>
  <dimension ref="A2:H24"/>
  <sheetViews>
    <sheetView zoomScaleNormal="100" workbookViewId="0">
      <selection activeCell="B3" sqref="B3"/>
    </sheetView>
  </sheetViews>
  <sheetFormatPr baseColWidth="10" defaultColWidth="12" defaultRowHeight="14.25" x14ac:dyDescent="0.2"/>
  <cols>
    <col min="1" max="1" width="60.5703125" style="85" bestFit="1" customWidth="1"/>
    <col min="2" max="2" width="31.85546875" style="85" bestFit="1" customWidth="1"/>
    <col min="3" max="3" width="15.42578125" style="85" bestFit="1" customWidth="1"/>
    <col min="4" max="4" width="17" style="85" bestFit="1" customWidth="1"/>
    <col min="5" max="5" width="15.42578125" style="85" bestFit="1" customWidth="1"/>
    <col min="6" max="7" width="13.5703125" style="85" bestFit="1" customWidth="1"/>
    <col min="8" max="9" width="15.42578125" style="85" bestFit="1" customWidth="1"/>
    <col min="10" max="16384" width="12" style="85"/>
  </cols>
  <sheetData>
    <row r="2" spans="1:8" x14ac:dyDescent="0.2">
      <c r="C2" s="98" t="s">
        <v>83</v>
      </c>
      <c r="D2" s="98" t="s">
        <v>39</v>
      </c>
      <c r="E2" s="98" t="s">
        <v>129</v>
      </c>
      <c r="F2" s="98" t="s">
        <v>128</v>
      </c>
      <c r="G2" s="98" t="s">
        <v>85</v>
      </c>
      <c r="H2" s="98" t="s">
        <v>130</v>
      </c>
    </row>
    <row r="3" spans="1:8" x14ac:dyDescent="0.2">
      <c r="A3" s="86" t="s">
        <v>67</v>
      </c>
      <c r="B3" s="86" t="s">
        <v>78</v>
      </c>
      <c r="C3" s="93">
        <f>Datos3!E17</f>
        <v>1.6379946822858464</v>
      </c>
      <c r="D3" s="92">
        <f>Datos1!E17</f>
        <v>0.70350782051489213</v>
      </c>
      <c r="E3" s="92">
        <f>Datos2!E17</f>
        <v>1.1295175123436492</v>
      </c>
      <c r="F3" s="94">
        <f>Datos5!E25</f>
        <v>1.1713416075835914</v>
      </c>
      <c r="G3" s="94">
        <f>Datos4!E20</f>
        <v>0.82447496685846189</v>
      </c>
      <c r="H3" s="92">
        <f>SUM(C3:G3)/5</f>
        <v>1.0933673179172883</v>
      </c>
    </row>
    <row r="4" spans="1:8" x14ac:dyDescent="0.2">
      <c r="A4" s="86" t="s">
        <v>68</v>
      </c>
      <c r="B4" s="86" t="s">
        <v>79</v>
      </c>
      <c r="C4" s="93">
        <f>Datos3!E18</f>
        <v>0.93545142769064771</v>
      </c>
      <c r="D4" s="92">
        <f>Datos1!E18</f>
        <v>0.6422743594181971</v>
      </c>
      <c r="E4" s="92">
        <f>Datos2!E18</f>
        <v>1.1294865328965034</v>
      </c>
      <c r="F4" s="94">
        <f>Datos5!E26</f>
        <v>1.1583168855957198</v>
      </c>
      <c r="G4" s="94">
        <f>Datos4!E21</f>
        <v>0.62473088786004594</v>
      </c>
      <c r="H4" s="92">
        <f t="shared" ref="H4:H12" si="0">SUM(C4:G4)/5</f>
        <v>0.89805201869222273</v>
      </c>
    </row>
    <row r="5" spans="1:8" x14ac:dyDescent="0.2">
      <c r="A5" s="86" t="s">
        <v>69</v>
      </c>
      <c r="B5" s="86" t="s">
        <v>80</v>
      </c>
      <c r="C5" s="95">
        <f>Datos3!E19</f>
        <v>0.34</v>
      </c>
      <c r="D5" s="96">
        <f>Datos1!E19</f>
        <v>0.84211109697883402</v>
      </c>
      <c r="E5" s="96">
        <f>Datos2!E19</f>
        <v>0.32628468191945709</v>
      </c>
      <c r="F5" s="97">
        <f>Datos5!E27</f>
        <v>0.85254404928820615</v>
      </c>
      <c r="G5" s="97">
        <f>Datos4!E22</f>
        <v>0.87298968480704875</v>
      </c>
      <c r="H5" s="96">
        <f t="shared" si="0"/>
        <v>0.64678590259870927</v>
      </c>
    </row>
    <row r="6" spans="1:8" x14ac:dyDescent="0.2">
      <c r="A6" s="86" t="s">
        <v>70</v>
      </c>
      <c r="B6" s="86" t="s">
        <v>82</v>
      </c>
      <c r="C6" s="93">
        <f>Datos3!E20</f>
        <v>2.1600254210359071</v>
      </c>
      <c r="D6" s="92">
        <f>Datos1!E20</f>
        <v>-0.7655451965950546</v>
      </c>
      <c r="E6" s="92">
        <f>Datos2!E20</f>
        <v>0.59728555562185637</v>
      </c>
      <c r="F6" s="94">
        <f>Datos5!E28</f>
        <v>43.518442269923852</v>
      </c>
      <c r="G6" s="87">
        <f>Datos4!E23</f>
        <v>34.62894554380707</v>
      </c>
      <c r="H6" s="92">
        <f t="shared" si="0"/>
        <v>16.027830718758725</v>
      </c>
    </row>
    <row r="7" spans="1:8" x14ac:dyDescent="0.2">
      <c r="A7" s="86" t="s">
        <v>71</v>
      </c>
      <c r="B7" s="86" t="s">
        <v>60</v>
      </c>
      <c r="C7" s="93">
        <f>Datos3!E21</f>
        <v>0.69183345491643677</v>
      </c>
      <c r="D7" s="92">
        <f>Datos1!E21</f>
        <v>3.8591642962397192</v>
      </c>
      <c r="E7" s="92">
        <f>Datos2!E21</f>
        <v>14554.547224697157</v>
      </c>
      <c r="F7" s="87">
        <f>Datos5!E29</f>
        <v>20.107685467479676</v>
      </c>
      <c r="G7" s="87">
        <f>Datos4!E24</f>
        <v>4.7833043067173016</v>
      </c>
      <c r="H7" s="92">
        <f t="shared" si="0"/>
        <v>2916.7978424445018</v>
      </c>
    </row>
    <row r="8" spans="1:8" x14ac:dyDescent="0.2">
      <c r="A8" s="86" t="s">
        <v>72</v>
      </c>
      <c r="B8" s="86" t="s">
        <v>61</v>
      </c>
      <c r="C8" s="93">
        <f>Datos3!E22</f>
        <v>683.27019891701616</v>
      </c>
      <c r="D8" s="92">
        <f>Datos1!E22</f>
        <v>1.4611178658355455</v>
      </c>
      <c r="E8" s="92">
        <f>Datos2!E22</f>
        <v>167.48094691568886</v>
      </c>
      <c r="F8" s="94">
        <f>Datos5!E30</f>
        <v>809.25168538048126</v>
      </c>
      <c r="G8" s="94">
        <f>Datos4!E25</f>
        <v>150.20585820124211</v>
      </c>
      <c r="H8" s="92">
        <f t="shared" si="0"/>
        <v>362.3339614560528</v>
      </c>
    </row>
    <row r="9" spans="1:8" x14ac:dyDescent="0.2">
      <c r="A9" s="86" t="s">
        <v>73</v>
      </c>
      <c r="B9" s="86" t="s">
        <v>62</v>
      </c>
      <c r="C9" s="93">
        <f>Datos3!E23</f>
        <v>0.16714770347989716</v>
      </c>
      <c r="D9" s="92">
        <f>Datos1!E23</f>
        <v>7.7807999287491644E-2</v>
      </c>
      <c r="E9" s="92">
        <f>Datos2!E23</f>
        <v>8.5092336839065169E-2</v>
      </c>
      <c r="F9" s="94">
        <f>Datos5!E31</f>
        <v>6.6777225382633074E-2</v>
      </c>
      <c r="G9" s="94">
        <f>Datos4!E26</f>
        <v>0.37795853285949349</v>
      </c>
      <c r="H9" s="92">
        <f t="shared" si="0"/>
        <v>0.15495675956971611</v>
      </c>
    </row>
    <row r="10" spans="1:8" x14ac:dyDescent="0.2">
      <c r="A10" s="86" t="s">
        <v>74</v>
      </c>
      <c r="B10" s="86" t="s">
        <v>63</v>
      </c>
      <c r="C10" s="93">
        <f>Datos3!E24</f>
        <v>0.12248975287989662</v>
      </c>
      <c r="D10" s="92">
        <f>Datos1!E24</f>
        <v>2.1754301453786389E-6</v>
      </c>
      <c r="E10" s="92">
        <f>Datos2!E24</f>
        <v>1677.9768277846044</v>
      </c>
      <c r="F10" s="94">
        <f>Datos5!E32</f>
        <v>1.962351465085411</v>
      </c>
      <c r="G10" s="94">
        <f>Datos4!E27</f>
        <v>1.1859115914275045</v>
      </c>
      <c r="H10" s="92">
        <f t="shared" si="0"/>
        <v>336.24951655388548</v>
      </c>
    </row>
    <row r="11" spans="1:8" x14ac:dyDescent="0.2">
      <c r="A11" s="86" t="s">
        <v>75</v>
      </c>
      <c r="B11" s="86" t="s">
        <v>64</v>
      </c>
      <c r="C11" s="93">
        <f>Datos3!E25</f>
        <v>4.5039887625559882E-2</v>
      </c>
      <c r="D11" s="92">
        <f>Datos1!E25</f>
        <v>-2.4764430856986594E-8</v>
      </c>
      <c r="E11" s="92">
        <f>Datos2!E25</f>
        <v>7.6376297254341108E-6</v>
      </c>
      <c r="F11" s="94">
        <f>Datos5!E33</f>
        <v>2.5286825829311656E-2</v>
      </c>
      <c r="G11" s="94">
        <f>Datos4!E28</f>
        <v>7.8089796886116197E-2</v>
      </c>
      <c r="H11" s="92">
        <f t="shared" si="0"/>
        <v>2.9684824641256463E-2</v>
      </c>
    </row>
    <row r="12" spans="1:8" x14ac:dyDescent="0.2">
      <c r="A12" s="86" t="s">
        <v>76</v>
      </c>
      <c r="B12" s="86" t="s">
        <v>65</v>
      </c>
      <c r="C12" s="93">
        <f>Datos3!E26</f>
        <v>3.1407929028244776E-2</v>
      </c>
      <c r="D12" s="92">
        <f>Datos1!E26</f>
        <v>1.0720567687959543E-6</v>
      </c>
      <c r="E12" s="92">
        <f>Datos2!E26</f>
        <v>2.1194904538698867E-4</v>
      </c>
      <c r="F12" s="94">
        <f>Datos5!E34</f>
        <v>8.8861013901965519E-2</v>
      </c>
      <c r="G12" s="94">
        <f>Datos4!E29</f>
        <v>2.6812752500000001</v>
      </c>
      <c r="H12" s="92">
        <f t="shared" si="0"/>
        <v>0.56035144280647331</v>
      </c>
    </row>
    <row r="14" spans="1:8" x14ac:dyDescent="0.2">
      <c r="C14" s="98" t="s">
        <v>131</v>
      </c>
      <c r="D14" s="98" t="s">
        <v>39</v>
      </c>
      <c r="E14" s="98" t="s">
        <v>129</v>
      </c>
      <c r="F14" s="98" t="s">
        <v>128</v>
      </c>
      <c r="G14" s="98" t="s">
        <v>85</v>
      </c>
    </row>
    <row r="15" spans="1:8" x14ac:dyDescent="0.2">
      <c r="C15" s="88" t="s">
        <v>125</v>
      </c>
      <c r="D15" s="88" t="s">
        <v>126</v>
      </c>
      <c r="E15" s="88" t="s">
        <v>127</v>
      </c>
      <c r="F15" s="88" t="s">
        <v>125</v>
      </c>
      <c r="G15" s="88" t="s">
        <v>126</v>
      </c>
    </row>
    <row r="16" spans="1:8" x14ac:dyDescent="0.2">
      <c r="C16" s="89" t="s">
        <v>126</v>
      </c>
      <c r="D16" s="89" t="s">
        <v>126</v>
      </c>
      <c r="E16" s="89" t="s">
        <v>127</v>
      </c>
      <c r="F16" s="89" t="s">
        <v>125</v>
      </c>
      <c r="G16" s="89" t="s">
        <v>126</v>
      </c>
    </row>
    <row r="17" spans="3:7" x14ac:dyDescent="0.2">
      <c r="C17" s="88" t="s">
        <v>125</v>
      </c>
      <c r="D17" s="88" t="s">
        <v>125</v>
      </c>
      <c r="E17" s="88" t="s">
        <v>126</v>
      </c>
      <c r="F17" s="88" t="s">
        <v>127</v>
      </c>
      <c r="G17" s="88" t="s">
        <v>127</v>
      </c>
    </row>
    <row r="18" spans="3:7" x14ac:dyDescent="0.2">
      <c r="C18" s="89" t="s">
        <v>127</v>
      </c>
      <c r="D18" s="89" t="s">
        <v>126</v>
      </c>
      <c r="E18" s="89" t="s">
        <v>126</v>
      </c>
      <c r="F18" s="89" t="s">
        <v>125</v>
      </c>
      <c r="G18" s="89" t="s">
        <v>125</v>
      </c>
    </row>
    <row r="19" spans="3:7" x14ac:dyDescent="0.2">
      <c r="C19" s="88" t="s">
        <v>126</v>
      </c>
      <c r="D19" s="88" t="s">
        <v>126</v>
      </c>
      <c r="E19" s="88" t="s">
        <v>125</v>
      </c>
      <c r="F19" s="88" t="s">
        <v>125</v>
      </c>
      <c r="G19" s="88" t="s">
        <v>126</v>
      </c>
    </row>
    <row r="20" spans="3:7" x14ac:dyDescent="0.2">
      <c r="C20" s="89" t="s">
        <v>126</v>
      </c>
      <c r="D20" s="89" t="s">
        <v>125</v>
      </c>
      <c r="E20" s="89" t="s">
        <v>125</v>
      </c>
      <c r="F20" s="89" t="s">
        <v>126</v>
      </c>
      <c r="G20" s="89" t="s">
        <v>125</v>
      </c>
    </row>
    <row r="21" spans="3:7" x14ac:dyDescent="0.2">
      <c r="C21" s="88" t="s">
        <v>126</v>
      </c>
      <c r="D21" s="88" t="s">
        <v>125</v>
      </c>
      <c r="E21" s="88" t="s">
        <v>126</v>
      </c>
      <c r="F21" s="88" t="s">
        <v>126</v>
      </c>
      <c r="G21" s="88" t="s">
        <v>126</v>
      </c>
    </row>
    <row r="22" spans="3:7" x14ac:dyDescent="0.2">
      <c r="C22" s="89" t="s">
        <v>126</v>
      </c>
      <c r="D22" s="89" t="s">
        <v>127</v>
      </c>
      <c r="E22" s="89" t="s">
        <v>125</v>
      </c>
      <c r="F22" s="89" t="s">
        <v>127</v>
      </c>
      <c r="G22" s="89" t="s">
        <v>127</v>
      </c>
    </row>
    <row r="23" spans="3:7" x14ac:dyDescent="0.2">
      <c r="C23" s="88" t="s">
        <v>126</v>
      </c>
      <c r="D23" s="88" t="s">
        <v>126</v>
      </c>
      <c r="E23" s="88" t="s">
        <v>125</v>
      </c>
      <c r="F23" s="88" t="s">
        <v>126</v>
      </c>
      <c r="G23" s="88" t="s">
        <v>126</v>
      </c>
    </row>
    <row r="24" spans="3:7" x14ac:dyDescent="0.2">
      <c r="C24" s="90" t="s">
        <v>126</v>
      </c>
      <c r="D24" s="90" t="s">
        <v>127</v>
      </c>
      <c r="E24" s="90" t="s">
        <v>125</v>
      </c>
      <c r="F24" s="90" t="s">
        <v>126</v>
      </c>
      <c r="G24" s="90" t="s">
        <v>127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0C61-EB08-4CCE-A5D9-C095D225B255}">
  <sheetPr codeName="Hoja14">
    <tabColor theme="7"/>
  </sheetPr>
  <dimension ref="A1:F14"/>
  <sheetViews>
    <sheetView tabSelected="1" zoomScale="90" zoomScaleNormal="90" zoomScaleSheetLayoutView="50" workbookViewId="0">
      <selection activeCell="A3" sqref="A3"/>
    </sheetView>
  </sheetViews>
  <sheetFormatPr baseColWidth="10" defaultRowHeight="14.25" x14ac:dyDescent="0.2"/>
  <cols>
    <col min="1" max="1" width="31.85546875" style="85" bestFit="1" customWidth="1"/>
    <col min="2" max="2" width="15.42578125" style="85" bestFit="1" customWidth="1"/>
    <col min="3" max="3" width="17" style="85" bestFit="1" customWidth="1"/>
    <col min="4" max="4" width="15.42578125" style="85" bestFit="1" customWidth="1"/>
    <col min="5" max="7" width="13.5703125" style="85" bestFit="1" customWidth="1"/>
    <col min="8" max="16384" width="11.42578125" style="85"/>
  </cols>
  <sheetData>
    <row r="1" spans="1:6" x14ac:dyDescent="0.2">
      <c r="A1" s="132" t="s">
        <v>134</v>
      </c>
      <c r="B1" s="133"/>
      <c r="C1" s="133"/>
      <c r="D1" s="133"/>
      <c r="E1" s="133"/>
      <c r="F1" s="133"/>
    </row>
    <row r="3" spans="1:6" x14ac:dyDescent="0.2">
      <c r="B3" s="98" t="s">
        <v>83</v>
      </c>
      <c r="C3" s="98" t="s">
        <v>39</v>
      </c>
      <c r="D3" s="98" t="s">
        <v>129</v>
      </c>
      <c r="E3" s="98" t="s">
        <v>128</v>
      </c>
      <c r="F3" s="98" t="s">
        <v>85</v>
      </c>
    </row>
    <row r="4" spans="1:6" x14ac:dyDescent="0.2">
      <c r="A4" s="86" t="s">
        <v>78</v>
      </c>
      <c r="B4" s="93">
        <f>Datos3!E17</f>
        <v>1.6379946822858464</v>
      </c>
      <c r="C4" s="92">
        <f>Datos1!E17</f>
        <v>0.70350782051489213</v>
      </c>
      <c r="D4" s="92">
        <f>Datos2!E17</f>
        <v>1.1295175123436492</v>
      </c>
      <c r="E4" s="94">
        <f>Datos5!E25</f>
        <v>1.1713416075835914</v>
      </c>
      <c r="F4" s="94">
        <f>Datos4!E20</f>
        <v>0.82447496685846189</v>
      </c>
    </row>
    <row r="5" spans="1:6" x14ac:dyDescent="0.2">
      <c r="A5" s="86" t="s">
        <v>79</v>
      </c>
      <c r="B5" s="93">
        <f>Datos3!E18</f>
        <v>0.93545142769064771</v>
      </c>
      <c r="C5" s="92">
        <f>Datos1!E18</f>
        <v>0.6422743594181971</v>
      </c>
      <c r="D5" s="92">
        <f>Datos2!E18</f>
        <v>1.1294865328965034</v>
      </c>
      <c r="E5" s="94">
        <f>Datos5!E26</f>
        <v>1.1583168855957198</v>
      </c>
      <c r="F5" s="94">
        <f>Datos4!E21</f>
        <v>0.62473088786004594</v>
      </c>
    </row>
    <row r="6" spans="1:6" x14ac:dyDescent="0.2">
      <c r="A6" s="86" t="s">
        <v>80</v>
      </c>
      <c r="B6" s="95">
        <f>Datos3!E19</f>
        <v>0.34</v>
      </c>
      <c r="C6" s="96">
        <f>Datos1!E19</f>
        <v>0.84211109697883402</v>
      </c>
      <c r="D6" s="96">
        <f>Datos2!E19</f>
        <v>0.32628468191945709</v>
      </c>
      <c r="E6" s="97">
        <f>Datos5!E27</f>
        <v>0.85254404928820615</v>
      </c>
      <c r="F6" s="97">
        <f>Datos4!E22</f>
        <v>0.87298968480704875</v>
      </c>
    </row>
    <row r="7" spans="1:6" x14ac:dyDescent="0.2">
      <c r="A7" s="86" t="s">
        <v>82</v>
      </c>
      <c r="B7" s="93">
        <f>Datos3!E20</f>
        <v>2.1600254210359071</v>
      </c>
      <c r="C7" s="92">
        <f>Datos1!E20</f>
        <v>-0.7655451965950546</v>
      </c>
      <c r="D7" s="92">
        <f>Datos2!E20</f>
        <v>0.59728555562185637</v>
      </c>
      <c r="E7" s="94">
        <f>Datos5!E28</f>
        <v>43.518442269923852</v>
      </c>
      <c r="F7" s="87">
        <f>Datos4!E23</f>
        <v>34.62894554380707</v>
      </c>
    </row>
    <row r="8" spans="1:6" x14ac:dyDescent="0.2">
      <c r="A8" s="86" t="s">
        <v>60</v>
      </c>
      <c r="B8" s="93">
        <f>Datos3!E21</f>
        <v>0.69183345491643677</v>
      </c>
      <c r="C8" s="92">
        <f>Datos1!E21</f>
        <v>3.8591642962397192</v>
      </c>
      <c r="D8" s="92">
        <f>Datos2!E21</f>
        <v>14554.547224697157</v>
      </c>
      <c r="E8" s="87">
        <f>Datos5!E29</f>
        <v>20.107685467479676</v>
      </c>
      <c r="F8" s="87">
        <f>Datos4!E24</f>
        <v>4.7833043067173016</v>
      </c>
    </row>
    <row r="9" spans="1:6" x14ac:dyDescent="0.2">
      <c r="A9" s="86" t="s">
        <v>61</v>
      </c>
      <c r="B9" s="93">
        <f>Datos3!E22</f>
        <v>683.27019891701616</v>
      </c>
      <c r="C9" s="92">
        <f>Datos1!E22</f>
        <v>1.4611178658355455</v>
      </c>
      <c r="D9" s="92">
        <f>Datos2!E22</f>
        <v>167.48094691568886</v>
      </c>
      <c r="E9" s="94">
        <f>Datos5!E30</f>
        <v>809.25168538048126</v>
      </c>
      <c r="F9" s="94">
        <f>Datos4!E25</f>
        <v>150.20585820124211</v>
      </c>
    </row>
    <row r="10" spans="1:6" x14ac:dyDescent="0.2">
      <c r="A10" s="86" t="s">
        <v>62</v>
      </c>
      <c r="B10" s="93">
        <f>Datos3!E23</f>
        <v>0.16714770347989716</v>
      </c>
      <c r="C10" s="92">
        <f>Datos1!E23</f>
        <v>7.7807999287491644E-2</v>
      </c>
      <c r="D10" s="92">
        <f>Datos2!E23</f>
        <v>8.5092336839065169E-2</v>
      </c>
      <c r="E10" s="94">
        <f>Datos5!E31</f>
        <v>6.6777225382633074E-2</v>
      </c>
      <c r="F10" s="94">
        <f>Datos4!E26</f>
        <v>0.37795853285949349</v>
      </c>
    </row>
    <row r="11" spans="1:6" x14ac:dyDescent="0.2">
      <c r="A11" s="86" t="s">
        <v>63</v>
      </c>
      <c r="B11" s="93">
        <f>Datos3!E24</f>
        <v>0.12248975287989662</v>
      </c>
      <c r="C11" s="92">
        <f>Datos1!E24</f>
        <v>2.1754301453786389E-6</v>
      </c>
      <c r="D11" s="92">
        <f>Datos2!E24</f>
        <v>1677.9768277846044</v>
      </c>
      <c r="E11" s="94">
        <f>Datos5!E32</f>
        <v>1.962351465085411</v>
      </c>
      <c r="F11" s="94">
        <f>Datos4!E27</f>
        <v>1.1859115914275045</v>
      </c>
    </row>
    <row r="12" spans="1:6" x14ac:dyDescent="0.2">
      <c r="A12" s="86" t="s">
        <v>64</v>
      </c>
      <c r="B12" s="93">
        <f>Datos3!E25</f>
        <v>4.5039887625559882E-2</v>
      </c>
      <c r="C12" s="92">
        <f>Datos1!E25</f>
        <v>-2.4764430856986594E-8</v>
      </c>
      <c r="D12" s="92">
        <f>Datos2!E25</f>
        <v>7.6376297254341108E-6</v>
      </c>
      <c r="E12" s="94">
        <f>Datos5!E33</f>
        <v>2.5286825829311656E-2</v>
      </c>
      <c r="F12" s="94">
        <f>Datos4!E28</f>
        <v>7.8089796886116197E-2</v>
      </c>
    </row>
    <row r="13" spans="1:6" x14ac:dyDescent="0.2">
      <c r="A13" s="86" t="s">
        <v>65</v>
      </c>
      <c r="B13" s="93">
        <f>Datos3!E26</f>
        <v>3.1407929028244776E-2</v>
      </c>
      <c r="C13" s="92">
        <f>Datos1!E26</f>
        <v>1.0720567687959543E-6</v>
      </c>
      <c r="D13" s="92">
        <f>Datos2!E26</f>
        <v>2.1194904538698867E-4</v>
      </c>
      <c r="E13" s="94">
        <f>Datos5!E34</f>
        <v>8.8861013901965519E-2</v>
      </c>
      <c r="F13" s="94">
        <f>Datos4!E29</f>
        <v>2.6812752500000001</v>
      </c>
    </row>
    <row r="14" spans="1:6" x14ac:dyDescent="0.2">
      <c r="A14" s="99" t="s">
        <v>133</v>
      </c>
      <c r="B14" s="86">
        <f>SUM(B4:B13)</f>
        <v>689.40158917595863</v>
      </c>
      <c r="C14" s="86">
        <f>SUM(C4:C13)</f>
        <v>6.8204414644021085</v>
      </c>
      <c r="D14" s="86">
        <f>SUM(D4:D13)</f>
        <v>16403.272885603747</v>
      </c>
      <c r="E14" s="86">
        <f>SUM(E4:E13)</f>
        <v>878.20329219055156</v>
      </c>
      <c r="F14" s="86">
        <f>SUM(F4:F13)</f>
        <v>196.26353876246512</v>
      </c>
    </row>
  </sheetData>
  <mergeCells count="1">
    <mergeCell ref="A1:F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Inicio</vt:lpstr>
      <vt:lpstr>Simulador</vt:lpstr>
      <vt:lpstr>América Móvil</vt:lpstr>
      <vt:lpstr>Datos1</vt:lpstr>
      <vt:lpstr>IZZI</vt:lpstr>
      <vt:lpstr>Datos2</vt:lpstr>
      <vt:lpstr>QUMMA</vt:lpstr>
      <vt:lpstr>Datos3</vt:lpstr>
      <vt:lpstr>TV Azteca</vt:lpstr>
      <vt:lpstr>Datos4</vt:lpstr>
      <vt:lpstr>Axtel</vt:lpstr>
      <vt:lpstr>Datos5</vt:lpstr>
      <vt:lpstr>Hoja1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</dc:creator>
  <cp:lastModifiedBy>Joel Colin</cp:lastModifiedBy>
  <dcterms:created xsi:type="dcterms:W3CDTF">2021-05-11T01:18:50Z</dcterms:created>
  <dcterms:modified xsi:type="dcterms:W3CDTF">2021-05-20T19:08:49Z</dcterms:modified>
</cp:coreProperties>
</file>