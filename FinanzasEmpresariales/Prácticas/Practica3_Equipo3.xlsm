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039fc67798459929/Documentos/Joel/3ro/FE/"/>
    </mc:Choice>
  </mc:AlternateContent>
  <xr:revisionPtr revIDLastSave="30" documentId="13_ncr:1_{B3BDD768-003C-47CC-B6C9-ED6A768DEDDD}" xr6:coauthVersionLast="46" xr6:coauthVersionMax="46" xr10:uidLastSave="{8188FDCA-15A0-4274-8E7D-6DF06C992A58}"/>
  <bookViews>
    <workbookView xWindow="-120" yWindow="-120" windowWidth="20730" windowHeight="11160" activeTab="6" xr2:uid="{8EAA2EF8-1E17-46E1-B45F-CBA0BFE07991}"/>
  </bookViews>
  <sheets>
    <sheet name="Inicio" sheetId="1" r:id="rId1"/>
    <sheet name="Menú" sheetId="2" r:id="rId2"/>
    <sheet name="Datos" sheetId="5" r:id="rId3"/>
    <sheet name="Estado" sheetId="4" r:id="rId4"/>
    <sheet name="Calculos" sheetId="8" r:id="rId5"/>
    <sheet name="Flujo" sheetId="3" r:id="rId6"/>
    <sheet name="Balance" sheetId="6" r:id="rId7"/>
    <sheet name="Resultados" sheetId="7" r:id="rId8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24" i="6" l="1"/>
  <c r="J24" i="6"/>
  <c r="I24" i="6"/>
  <c r="H24" i="6"/>
  <c r="G23" i="6"/>
  <c r="F6" i="6"/>
  <c r="E18" i="3"/>
  <c r="F17" i="3" s="1"/>
  <c r="J13" i="3"/>
  <c r="I13" i="3"/>
  <c r="H13" i="3"/>
  <c r="G13" i="3"/>
  <c r="E13" i="3"/>
  <c r="F23" i="6"/>
  <c r="F10" i="3"/>
  <c r="G10" i="3"/>
  <c r="H10" i="3"/>
  <c r="I10" i="3"/>
  <c r="J10" i="3"/>
  <c r="E10" i="3"/>
  <c r="F9" i="3"/>
  <c r="G9" i="3"/>
  <c r="H9" i="3"/>
  <c r="I9" i="3"/>
  <c r="J9" i="3"/>
  <c r="E9" i="3"/>
  <c r="F8" i="3"/>
  <c r="G8" i="3"/>
  <c r="H8" i="3"/>
  <c r="I8" i="3"/>
  <c r="J8" i="3"/>
  <c r="E8" i="3"/>
  <c r="F4" i="3"/>
  <c r="G6" i="3" s="1"/>
  <c r="G7" i="6" s="1"/>
  <c r="G4" i="3"/>
  <c r="H6" i="3" s="1"/>
  <c r="H7" i="6" s="1"/>
  <c r="H4" i="3"/>
  <c r="I4" i="3"/>
  <c r="J6" i="3" s="1"/>
  <c r="J7" i="6" s="1"/>
  <c r="J4" i="3"/>
  <c r="E4" i="3"/>
  <c r="K6" i="3"/>
  <c r="K7" i="6" s="1"/>
  <c r="I6" i="3"/>
  <c r="I7" i="6" s="1"/>
  <c r="J5" i="3"/>
  <c r="F5" i="3"/>
  <c r="J12" i="3"/>
  <c r="I5" i="3"/>
  <c r="I7" i="3" s="1"/>
  <c r="H5" i="3"/>
  <c r="E12" i="3"/>
  <c r="G12" i="3" l="1"/>
  <c r="G15" i="3" s="1"/>
  <c r="F12" i="3"/>
  <c r="G5" i="3"/>
  <c r="E15" i="3"/>
  <c r="F15" i="3"/>
  <c r="G7" i="3"/>
  <c r="J7" i="3"/>
  <c r="H7" i="3"/>
  <c r="J15" i="3"/>
  <c r="F6" i="3"/>
  <c r="H12" i="3"/>
  <c r="H15" i="3" s="1"/>
  <c r="I12" i="3"/>
  <c r="I15" i="3" s="1"/>
  <c r="I16" i="3" s="1"/>
  <c r="E5" i="3"/>
  <c r="E7" i="3" s="1"/>
  <c r="E16" i="3" l="1"/>
  <c r="G16" i="3"/>
  <c r="J16" i="3"/>
  <c r="F7" i="3"/>
  <c r="F16" i="3" s="1"/>
  <c r="F18" i="3" s="1"/>
  <c r="F7" i="6"/>
  <c r="H16" i="3"/>
  <c r="G6" i="6" l="1"/>
  <c r="G17" i="3"/>
  <c r="G18" i="3" s="1"/>
  <c r="H6" i="6" l="1"/>
  <c r="H17" i="3"/>
  <c r="H18" i="3" s="1"/>
  <c r="I6" i="6" l="1"/>
  <c r="I17" i="3"/>
  <c r="I18" i="3" s="1"/>
  <c r="E10" i="7"/>
  <c r="I9" i="7"/>
  <c r="H9" i="7"/>
  <c r="G9" i="7"/>
  <c r="F9" i="7"/>
  <c r="I8" i="7"/>
  <c r="H8" i="7"/>
  <c r="G8" i="7"/>
  <c r="F8" i="7"/>
  <c r="E9" i="7"/>
  <c r="E8" i="7"/>
  <c r="J7" i="7"/>
  <c r="I7" i="7"/>
  <c r="H7" i="7"/>
  <c r="G7" i="7"/>
  <c r="F7" i="7"/>
  <c r="E7" i="7"/>
  <c r="J6" i="7"/>
  <c r="I6" i="7"/>
  <c r="H6" i="7"/>
  <c r="G6" i="7"/>
  <c r="F6" i="7"/>
  <c r="E6" i="7"/>
  <c r="J5" i="7"/>
  <c r="I5" i="7"/>
  <c r="H5" i="7"/>
  <c r="G5" i="7"/>
  <c r="F5" i="7"/>
  <c r="F11" i="6"/>
  <c r="K10" i="6"/>
  <c r="J10" i="6"/>
  <c r="I10" i="6"/>
  <c r="H10" i="6"/>
  <c r="G10" i="6"/>
  <c r="F10" i="6"/>
  <c r="F12" i="6" s="1"/>
  <c r="K22" i="6"/>
  <c r="J22" i="6"/>
  <c r="I22" i="6"/>
  <c r="H22" i="6"/>
  <c r="G22" i="6"/>
  <c r="F22" i="6"/>
  <c r="J6" i="6" l="1"/>
  <c r="J8" i="6" s="1"/>
  <c r="J17" i="3"/>
  <c r="F19" i="6"/>
  <c r="E12" i="7" s="1"/>
  <c r="G19" i="6"/>
  <c r="F12" i="7" s="1"/>
  <c r="G11" i="6"/>
  <c r="H11" i="6" s="1"/>
  <c r="I11" i="6" s="1"/>
  <c r="J11" i="6" s="1"/>
  <c r="K11" i="6" s="1"/>
  <c r="H19" i="6"/>
  <c r="G12" i="7" s="1"/>
  <c r="F24" i="6"/>
  <c r="I8" i="6"/>
  <c r="H8" i="6"/>
  <c r="G8" i="6"/>
  <c r="F8" i="6"/>
  <c r="E5" i="7"/>
  <c r="D9" i="8"/>
  <c r="E9" i="8" s="1"/>
  <c r="F9" i="8" s="1"/>
  <c r="G9" i="8" s="1"/>
  <c r="H9" i="8" s="1"/>
  <c r="I9" i="8" s="1"/>
  <c r="D24" i="8"/>
  <c r="E24" i="8" s="1"/>
  <c r="F24" i="8" s="1"/>
  <c r="G24" i="8" s="1"/>
  <c r="H24" i="8" s="1"/>
  <c r="I24" i="8" s="1"/>
  <c r="D31" i="8"/>
  <c r="E31" i="8" s="1"/>
  <c r="F31" i="8" s="1"/>
  <c r="G31" i="8" s="1"/>
  <c r="H31" i="8" s="1"/>
  <c r="I31" i="8" s="1"/>
  <c r="D30" i="8"/>
  <c r="E30" i="8"/>
  <c r="F30" i="8" s="1"/>
  <c r="G30" i="8" s="1"/>
  <c r="H30" i="8" s="1"/>
  <c r="I30" i="8" s="1"/>
  <c r="D8" i="8"/>
  <c r="D14" i="4" s="1"/>
  <c r="J18" i="3" l="1"/>
  <c r="J8" i="7"/>
  <c r="F26" i="6"/>
  <c r="D13" i="4"/>
  <c r="G12" i="6"/>
  <c r="G14" i="6" s="1"/>
  <c r="F11" i="7" s="1"/>
  <c r="F13" i="7" s="1"/>
  <c r="F14" i="6"/>
  <c r="E11" i="7" s="1"/>
  <c r="E13" i="7" s="1"/>
  <c r="I18" i="6"/>
  <c r="I19" i="6" s="1"/>
  <c r="H12" i="6"/>
  <c r="H14" i="6" s="1"/>
  <c r="G11" i="7" s="1"/>
  <c r="G13" i="7" s="1"/>
  <c r="D10" i="8"/>
  <c r="D15" i="8" s="1"/>
  <c r="E8" i="8"/>
  <c r="E14" i="4" s="1"/>
  <c r="D23" i="8"/>
  <c r="K6" i="6" l="1"/>
  <c r="K8" i="6" s="1"/>
  <c r="J9" i="7"/>
  <c r="E17" i="8"/>
  <c r="D7" i="4"/>
  <c r="D8" i="4" s="1"/>
  <c r="E13" i="4"/>
  <c r="D16" i="8"/>
  <c r="D18" i="8" s="1"/>
  <c r="H12" i="7"/>
  <c r="F10" i="7"/>
  <c r="J18" i="6"/>
  <c r="J19" i="6" s="1"/>
  <c r="I12" i="6"/>
  <c r="I14" i="6" s="1"/>
  <c r="H11" i="7" s="1"/>
  <c r="H13" i="7" s="1"/>
  <c r="D25" i="8"/>
  <c r="D10" i="4" s="1"/>
  <c r="E23" i="8"/>
  <c r="E10" i="8"/>
  <c r="E15" i="8" s="1"/>
  <c r="E7" i="4" s="1"/>
  <c r="F8" i="8"/>
  <c r="E8" i="4" l="1"/>
  <c r="E9" i="4"/>
  <c r="F14" i="4"/>
  <c r="F13" i="4"/>
  <c r="I12" i="7"/>
  <c r="K18" i="6"/>
  <c r="K19" i="6" s="1"/>
  <c r="K12" i="6"/>
  <c r="K14" i="6" s="1"/>
  <c r="J11" i="7" s="1"/>
  <c r="J12" i="6"/>
  <c r="J14" i="6" s="1"/>
  <c r="I11" i="7" s="1"/>
  <c r="I13" i="7" s="1"/>
  <c r="F10" i="8"/>
  <c r="F15" i="8" s="1"/>
  <c r="F7" i="4" s="1"/>
  <c r="G8" i="8"/>
  <c r="E16" i="8"/>
  <c r="E18" i="8" s="1"/>
  <c r="F17" i="8"/>
  <c r="E25" i="8"/>
  <c r="E10" i="4" s="1"/>
  <c r="F23" i="8"/>
  <c r="F8" i="4" l="1"/>
  <c r="F9" i="4"/>
  <c r="G13" i="4"/>
  <c r="G14" i="4"/>
  <c r="J12" i="7"/>
  <c r="J13" i="7"/>
  <c r="H10" i="7"/>
  <c r="G10" i="7"/>
  <c r="I10" i="7"/>
  <c r="G23" i="8"/>
  <c r="F25" i="8"/>
  <c r="F10" i="4" s="1"/>
  <c r="H8" i="8"/>
  <c r="G10" i="8"/>
  <c r="G15" i="8" s="1"/>
  <c r="G7" i="4" s="1"/>
  <c r="F16" i="8"/>
  <c r="F18" i="8" s="1"/>
  <c r="G17" i="8"/>
  <c r="G8" i="4" l="1"/>
  <c r="G9" i="4"/>
  <c r="H13" i="4"/>
  <c r="H14" i="4"/>
  <c r="J10" i="7"/>
  <c r="G16" i="8"/>
  <c r="G18" i="8" s="1"/>
  <c r="H17" i="8"/>
  <c r="I8" i="8"/>
  <c r="H10" i="8"/>
  <c r="H15" i="8" s="1"/>
  <c r="H7" i="4" s="1"/>
  <c r="H23" i="8"/>
  <c r="G25" i="8"/>
  <c r="G10" i="4" s="1"/>
  <c r="H8" i="4" l="1"/>
  <c r="H9" i="4" s="1"/>
  <c r="I10" i="8"/>
  <c r="I15" i="8" s="1"/>
  <c r="I13" i="4"/>
  <c r="I14" i="4"/>
  <c r="I23" i="8"/>
  <c r="I25" i="8" s="1"/>
  <c r="I10" i="4" s="1"/>
  <c r="H25" i="8"/>
  <c r="H10" i="4" s="1"/>
  <c r="H16" i="8"/>
  <c r="H18" i="8" s="1"/>
  <c r="I17" i="8"/>
  <c r="I16" i="8" l="1"/>
  <c r="I18" i="8" s="1"/>
  <c r="I7" i="4"/>
  <c r="D9" i="4"/>
  <c r="D12" i="4" s="1"/>
  <c r="D15" i="4" s="1"/>
  <c r="D16" i="4" s="1"/>
  <c r="D18" i="4" s="1"/>
  <c r="I8" i="4" l="1"/>
  <c r="I9" i="4" s="1"/>
  <c r="G24" i="6"/>
  <c r="G26" i="6" s="1"/>
  <c r="E4" i="7"/>
  <c r="E12" i="4"/>
  <c r="E15" i="4" s="1"/>
  <c r="E16" i="4" s="1"/>
  <c r="E18" i="4" s="1"/>
  <c r="H23" i="6" s="1"/>
  <c r="F4" i="7" l="1"/>
  <c r="H26" i="6"/>
  <c r="F12" i="4"/>
  <c r="F15" i="4" s="1"/>
  <c r="F16" i="4" s="1"/>
  <c r="F17" i="4" s="1"/>
  <c r="F18" i="4" s="1"/>
  <c r="I23" i="6" s="1"/>
  <c r="G4" i="7" l="1"/>
  <c r="I26" i="6"/>
  <c r="G12" i="4"/>
  <c r="G15" i="4" s="1"/>
  <c r="G16" i="4" s="1"/>
  <c r="G17" i="4" s="1"/>
  <c r="G18" i="4" l="1"/>
  <c r="J23" i="6" s="1"/>
  <c r="H12" i="4"/>
  <c r="H15" i="4" s="1"/>
  <c r="H16" i="4" s="1"/>
  <c r="H17" i="4" s="1"/>
  <c r="H4" i="7" l="1"/>
  <c r="J26" i="6"/>
  <c r="H18" i="4"/>
  <c r="K23" i="6" s="1"/>
  <c r="I12" i="4"/>
  <c r="I15" i="4" s="1"/>
  <c r="I16" i="4" s="1"/>
  <c r="I17" i="4" l="1"/>
  <c r="I18" i="4" s="1"/>
  <c r="J4" i="7" s="1"/>
  <c r="I4" i="7"/>
  <c r="K26" i="6"/>
</calcChain>
</file>

<file path=xl/sharedStrings.xml><?xml version="1.0" encoding="utf-8"?>
<sst xmlns="http://schemas.openxmlformats.org/spreadsheetml/2006/main" count="129" uniqueCount="113">
  <si>
    <t>Instituto Politécnico Nacional</t>
  </si>
  <si>
    <t>Escuela Superior de Cómputo</t>
  </si>
  <si>
    <t>Finanzas Empresariales</t>
  </si>
  <si>
    <t>Rodríguez Flores Eduardo</t>
  </si>
  <si>
    <t>3CV2</t>
  </si>
  <si>
    <t>Equipo 3:</t>
  </si>
  <si>
    <t>Colín Ramiro Joel</t>
  </si>
  <si>
    <t>Cortés Olvera Eduardo Maximiliano</t>
  </si>
  <si>
    <t>Márquez Granados Miriam Daniela</t>
  </si>
  <si>
    <t>Ramírez Jiménez Itzel Guadalupe</t>
  </si>
  <si>
    <t>"Estados Financieros Proforma"</t>
  </si>
  <si>
    <t>Datos</t>
  </si>
  <si>
    <t>Estado de Resultados</t>
  </si>
  <si>
    <t>Balance General</t>
  </si>
  <si>
    <t>Resultados</t>
  </si>
  <si>
    <t>Flujo Neto de Efectivo</t>
  </si>
  <si>
    <t>La empresa “Galletas Arcoíris, S.A.” se dedica a la producción</t>
  </si>
  <si>
    <t>y venta de galletas para las misceláneas de la localidad.</t>
  </si>
  <si>
    <t xml:space="preserve">Se fundó hace cinco años y según el Lic. Artemio Ortega gerente </t>
  </si>
  <si>
    <t>de ventas la demanda del producto ha crecido a una tasa del 3%</t>
  </si>
  <si>
    <t>mensual desde que iniciaron operaciones.</t>
  </si>
  <si>
    <r>
      <t xml:space="preserve">Empresa </t>
    </r>
    <r>
      <rPr>
        <u/>
        <sz val="14"/>
        <color theme="0"/>
        <rFont val="Bahnschrift"/>
        <family val="2"/>
      </rPr>
      <t xml:space="preserve">“Galletas Arcoíris” </t>
    </r>
  </si>
  <si>
    <t>Balance General Actual</t>
  </si>
  <si>
    <t>Tasa crecimiento</t>
  </si>
  <si>
    <t>Activo</t>
  </si>
  <si>
    <t>Pasivo</t>
  </si>
  <si>
    <t>Unidades</t>
  </si>
  <si>
    <t>Efectivo</t>
  </si>
  <si>
    <t>Prestamo</t>
  </si>
  <si>
    <t xml:space="preserve">Precio de ventas unitarias </t>
  </si>
  <si>
    <t>Cuentas por cobrar</t>
  </si>
  <si>
    <t>Total de pasivo</t>
  </si>
  <si>
    <t>Costo de produccion unitarios</t>
  </si>
  <si>
    <t>Total de activo circulante</t>
  </si>
  <si>
    <t>Gastos unitarios de administración</t>
  </si>
  <si>
    <t>Capital Contable</t>
  </si>
  <si>
    <t>Valor de rescate</t>
  </si>
  <si>
    <t>Equipo</t>
  </si>
  <si>
    <t>Capital Social</t>
  </si>
  <si>
    <t>Tiempo de vida (años)</t>
  </si>
  <si>
    <t>Depreciación</t>
  </si>
  <si>
    <t>Utilidad o perdida acumulada</t>
  </si>
  <si>
    <t>Prestamos</t>
  </si>
  <si>
    <t>Total de activo fijo</t>
  </si>
  <si>
    <t xml:space="preserve">Total capital Contable </t>
  </si>
  <si>
    <t xml:space="preserve">Total de activo </t>
  </si>
  <si>
    <t>Total pasivo y capital</t>
  </si>
  <si>
    <t>Nivel de Utilidades</t>
  </si>
  <si>
    <t>Tasa de impuesto</t>
  </si>
  <si>
    <t>Limite inferior</t>
  </si>
  <si>
    <t>Limite Superior</t>
  </si>
  <si>
    <t>Estado de Resultados para los proximo 6 meses</t>
  </si>
  <si>
    <t>Mes</t>
  </si>
  <si>
    <t>Ventas</t>
  </si>
  <si>
    <t>IVA</t>
  </si>
  <si>
    <t>Ventas netas</t>
  </si>
  <si>
    <t xml:space="preserve">Costos de produccion </t>
  </si>
  <si>
    <t>Utilidad bruta</t>
  </si>
  <si>
    <t>Gastos de Administración</t>
  </si>
  <si>
    <t>Gastos de Venta</t>
  </si>
  <si>
    <t>Utilidades antes de impuestos</t>
  </si>
  <si>
    <t>Impuestos</t>
  </si>
  <si>
    <t>Utilidad o perdida neta</t>
  </si>
  <si>
    <t>Presupuesto de ventas</t>
  </si>
  <si>
    <t>Precio</t>
  </si>
  <si>
    <t>Total ventas</t>
  </si>
  <si>
    <t>Presupuesto de cobros</t>
  </si>
  <si>
    <t>Cobro 40% (contado)</t>
  </si>
  <si>
    <t>Cobranza a 1 mes (60%)</t>
  </si>
  <si>
    <t>Total ingreso</t>
  </si>
  <si>
    <t>Presupuesto de producción</t>
  </si>
  <si>
    <t>Precio de producción</t>
  </si>
  <si>
    <t>Total de producción</t>
  </si>
  <si>
    <t>Gastos</t>
  </si>
  <si>
    <t>Gastos de venta</t>
  </si>
  <si>
    <t>Gastos de administracion</t>
  </si>
  <si>
    <t>Intereses</t>
  </si>
  <si>
    <t>Utilidad o perdida de operación</t>
  </si>
  <si>
    <t>Total de ingreso</t>
  </si>
  <si>
    <t>Cobro de contado(40%)</t>
  </si>
  <si>
    <t>Flujo neto de efectivo (FNE)</t>
  </si>
  <si>
    <t>Cobro 1 mes despues(60%)</t>
  </si>
  <si>
    <t>Costos de producción</t>
  </si>
  <si>
    <t>Gastos de administración</t>
  </si>
  <si>
    <t>Gastos de ventas</t>
  </si>
  <si>
    <t>Iva</t>
  </si>
  <si>
    <t>Total de egreso</t>
  </si>
  <si>
    <t>Flujo neto de efectivo</t>
  </si>
  <si>
    <t>Flujo de operación</t>
  </si>
  <si>
    <t>Flujo financiero</t>
  </si>
  <si>
    <t>Balance General para los próximos 6 meses</t>
  </si>
  <si>
    <t>Activos</t>
  </si>
  <si>
    <t xml:space="preserve">Mes </t>
  </si>
  <si>
    <t xml:space="preserve">     Efectivo</t>
  </si>
  <si>
    <t xml:space="preserve">     Cuentas por cobrar</t>
  </si>
  <si>
    <t>Total Activo fijo</t>
  </si>
  <si>
    <t>Total Activo circulante</t>
  </si>
  <si>
    <t>Total de activos</t>
  </si>
  <si>
    <t>Pasivos</t>
  </si>
  <si>
    <t>Total pasivo</t>
  </si>
  <si>
    <t xml:space="preserve">     Equipo</t>
  </si>
  <si>
    <t xml:space="preserve">     Depreciación acumulada</t>
  </si>
  <si>
    <t xml:space="preserve">     Préstamo</t>
  </si>
  <si>
    <t xml:space="preserve">     Capital Social</t>
  </si>
  <si>
    <t xml:space="preserve">     Utilida ó pérdida</t>
  </si>
  <si>
    <t>Total capital contable</t>
  </si>
  <si>
    <t>Total capital + pasivos</t>
  </si>
  <si>
    <t>Total capital social</t>
  </si>
  <si>
    <t>RESULTADOS</t>
  </si>
  <si>
    <t>Prestamo requerido</t>
  </si>
  <si>
    <t>Gastos financieros</t>
  </si>
  <si>
    <t>Pago de préstamo</t>
  </si>
  <si>
    <t>Efectivo disponible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</si>
</sst>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6" formatCode="&quot;$&quot;#,##0;[Red]\-&quot;$&quot;#,##0"/>
    <numFmt numFmtId="42" formatCode="_-&quot;$&quot;* #,##0_-;\-&quot;$&quot;* #,##0_-;_-&quot;$&quot;* &quot;-&quot;_-;_-@_-"/>
    <numFmt numFmtId="44" formatCode="_-&quot;$&quot;* #,##0.00_-;\-&quot;$&quot;* #,##0.00_-;_-&quot;$&quot;* &quot;-&quot;??_-;_-@_-"/>
    <numFmt numFmtId="164" formatCode="&quot;$&quot;#,##0.00"/>
  </numFmts>
  <fonts count="34" x14ac:knownFonts="1">
    <font>
      <sz val="11"/>
      <color theme="1"/>
      <name val="Calibri"/>
      <family val="2"/>
      <scheme val="minor"/>
    </font>
    <font>
      <sz val="11"/>
      <color theme="1"/>
      <name val="Bahnschrift Light"/>
      <family val="2"/>
    </font>
    <font>
      <sz val="11"/>
      <name val="Bahnschrift Light"/>
      <family val="2"/>
    </font>
    <font>
      <sz val="16"/>
      <name val="Bahnschrift Light"/>
      <family val="2"/>
    </font>
    <font>
      <u/>
      <sz val="16"/>
      <name val="Bahnschrift Light"/>
      <family val="2"/>
    </font>
    <font>
      <sz val="11"/>
      <name val="Calibri"/>
      <family val="2"/>
      <scheme val="minor"/>
    </font>
    <font>
      <sz val="12"/>
      <color theme="1"/>
      <name val="Bahnschrift"/>
      <family val="2"/>
    </font>
    <font>
      <sz val="12"/>
      <color theme="1"/>
      <name val="Bahnschrift Light"/>
      <family val="2"/>
    </font>
    <font>
      <sz val="12"/>
      <name val="Bahnschrift"/>
      <family val="2"/>
    </font>
    <font>
      <sz val="12"/>
      <color theme="0"/>
      <name val="Bahnschrift"/>
      <family val="2"/>
    </font>
    <font>
      <sz val="14"/>
      <color theme="0"/>
      <name val="Bahnschrift"/>
      <family val="2"/>
    </font>
    <font>
      <u/>
      <sz val="14"/>
      <color theme="0"/>
      <name val="Bahnschrift"/>
      <family val="2"/>
    </font>
    <font>
      <sz val="10"/>
      <color theme="0"/>
      <name val="Bahnschrift"/>
      <family val="2"/>
    </font>
    <font>
      <sz val="11"/>
      <color theme="1"/>
      <name val="Calibri"/>
      <family val="2"/>
      <scheme val="minor"/>
    </font>
    <font>
      <sz val="18"/>
      <color theme="1"/>
      <name val="Modern Love"/>
      <family val="5"/>
    </font>
    <font>
      <sz val="11"/>
      <color theme="1"/>
      <name val="Century Gothic"/>
      <family val="2"/>
    </font>
    <font>
      <b/>
      <sz val="11"/>
      <color theme="1"/>
      <name val="Century Gothic"/>
      <family val="2"/>
    </font>
    <font>
      <sz val="11"/>
      <color rgb="FF0061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theme="0"/>
      <name val="Calibri"/>
      <family val="2"/>
      <scheme val="minor"/>
    </font>
    <font>
      <sz val="22"/>
      <color theme="1"/>
      <name val="Bahnschrift Condensed"/>
      <family val="2"/>
    </font>
    <font>
      <b/>
      <sz val="12"/>
      <color rgb="FFFA7D00"/>
      <name val="Abadi Extra Light"/>
      <family val="2"/>
    </font>
    <font>
      <b/>
      <sz val="12"/>
      <color rgb="FF3F3F3F"/>
      <name val="Abadi Extra Light"/>
      <family val="2"/>
    </font>
    <font>
      <b/>
      <sz val="12"/>
      <color rgb="FF3F3F76"/>
      <name val="Abadi Extra Light"/>
      <family val="2"/>
    </font>
    <font>
      <b/>
      <sz val="14"/>
      <color rgb="FF3F3F76"/>
      <name val="Calibri"/>
      <family val="2"/>
      <scheme val="minor"/>
    </font>
    <font>
      <b/>
      <i/>
      <sz val="14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1"/>
      <name val="Abadi Extra Light"/>
      <family val="2"/>
    </font>
    <font>
      <sz val="14"/>
      <color theme="1"/>
      <name val="Calibri"/>
      <family val="2"/>
      <scheme val="minor"/>
    </font>
    <font>
      <b/>
      <sz val="12"/>
      <color theme="1"/>
      <name val="Abadi Extra Light"/>
      <family val="2"/>
    </font>
    <font>
      <b/>
      <i/>
      <sz val="18"/>
      <color theme="1"/>
      <name val="Bahnschrift Light"/>
      <family val="2"/>
    </font>
  </fonts>
  <fills count="35">
    <fill>
      <patternFill patternType="none"/>
    </fill>
    <fill>
      <patternFill patternType="gray125"/>
    </fill>
    <fill>
      <patternFill patternType="solid">
        <fgColor theme="7"/>
        <bgColor indexed="64"/>
      </patternFill>
    </fill>
    <fill>
      <patternFill patternType="solid">
        <fgColor rgb="FF99CC00"/>
        <bgColor indexed="64"/>
      </patternFill>
    </fill>
    <fill>
      <patternFill patternType="solid">
        <fgColor rgb="FF009999"/>
        <bgColor indexed="64"/>
      </patternFill>
    </fill>
    <fill>
      <patternFill patternType="solid">
        <fgColor rgb="FF9933FF"/>
        <bgColor indexed="64"/>
      </patternFill>
    </fill>
    <fill>
      <patternFill patternType="solid">
        <fgColor rgb="FFFF33CC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5" tint="0.79998168889431442"/>
        <bgColor indexed="65"/>
      </patternFill>
    </fill>
    <fill>
      <patternFill patternType="solid">
        <fgColor rgb="FFCCECFF"/>
        <bgColor indexed="64"/>
      </patternFill>
    </fill>
    <fill>
      <patternFill patternType="solid">
        <fgColor rgb="FFFFCC66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CC00FF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rgb="FFFF9966"/>
        <bgColor indexed="64"/>
      </patternFill>
    </fill>
    <fill>
      <patternFill patternType="solid">
        <fgColor rgb="FFCCFF99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66FF99"/>
        <bgColor indexed="64"/>
      </patternFill>
    </fill>
    <fill>
      <patternFill patternType="solid">
        <fgColor rgb="FF99FF33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79998168889431442"/>
        <bgColor indexed="65"/>
      </patternFill>
    </fill>
    <fill>
      <patternFill patternType="solid">
        <fgColor rgb="FF99FF99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C6EFCE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7"/>
      </patternFill>
    </fill>
    <fill>
      <patternFill patternType="solid">
        <fgColor rgb="FFFFC7CE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4" tint="0.79998168889431442"/>
        <bgColor indexed="64"/>
      </patternFill>
    </fill>
  </fills>
  <borders count="2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/>
      <right/>
      <top style="thin">
        <color rgb="FF7F7F7F"/>
      </top>
      <bottom style="thin">
        <color rgb="FF7F7F7F"/>
      </bottom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12">
    <xf numFmtId="0" fontId="0" fillId="0" borderId="0"/>
    <xf numFmtId="44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9" borderId="0" applyNumberFormat="0" applyBorder="0" applyAlignment="0" applyProtection="0"/>
    <xf numFmtId="0" fontId="13" fillId="23" borderId="0" applyNumberFormat="0" applyBorder="0" applyAlignment="0" applyProtection="0"/>
    <xf numFmtId="42" fontId="13" fillId="0" borderId="0" applyFont="0" applyFill="0" applyBorder="0" applyAlignment="0" applyProtection="0"/>
    <xf numFmtId="0" fontId="17" fillId="28" borderId="0" applyNumberFormat="0" applyBorder="0" applyAlignment="0" applyProtection="0"/>
    <xf numFmtId="0" fontId="18" fillId="29" borderId="11" applyNumberFormat="0" applyAlignment="0" applyProtection="0"/>
    <xf numFmtId="0" fontId="19" fillId="30" borderId="12" applyNumberFormat="0" applyAlignment="0" applyProtection="0"/>
    <xf numFmtId="0" fontId="20" fillId="30" borderId="11" applyNumberFormat="0" applyAlignment="0" applyProtection="0"/>
    <xf numFmtId="0" fontId="21" fillId="31" borderId="0" applyNumberFormat="0" applyBorder="0" applyAlignment="0" applyProtection="0"/>
    <xf numFmtId="0" fontId="28" fillId="32" borderId="0" applyNumberFormat="0" applyBorder="0" applyAlignment="0" applyProtection="0"/>
  </cellStyleXfs>
  <cellXfs count="135">
    <xf numFmtId="0" fontId="0" fillId="0" borderId="0" xfId="0"/>
    <xf numFmtId="0" fontId="2" fillId="3" borderId="0" xfId="0" applyFont="1" applyFill="1"/>
    <xf numFmtId="0" fontId="5" fillId="3" borderId="0" xfId="0" applyFont="1" applyFill="1"/>
    <xf numFmtId="0" fontId="6" fillId="4" borderId="0" xfId="0" applyFont="1" applyFill="1"/>
    <xf numFmtId="0" fontId="7" fillId="4" borderId="0" xfId="0" applyFont="1" applyFill="1"/>
    <xf numFmtId="0" fontId="8" fillId="4" borderId="0" xfId="0" applyFont="1" applyFill="1"/>
    <xf numFmtId="0" fontId="9" fillId="4" borderId="0" xfId="0" applyFont="1" applyFill="1" applyAlignment="1">
      <alignment vertical="center"/>
    </xf>
    <xf numFmtId="0" fontId="12" fillId="4" borderId="0" xfId="0" applyFont="1" applyFill="1"/>
    <xf numFmtId="0" fontId="1" fillId="2" borderId="0" xfId="0" applyFont="1" applyFill="1"/>
    <xf numFmtId="0" fontId="1" fillId="5" borderId="0" xfId="0" applyFont="1" applyFill="1"/>
    <xf numFmtId="0" fontId="1" fillId="6" borderId="0" xfId="0" applyFont="1" applyFill="1"/>
    <xf numFmtId="0" fontId="1" fillId="7" borderId="0" xfId="0" applyFont="1" applyFill="1"/>
    <xf numFmtId="0" fontId="2" fillId="8" borderId="0" xfId="0" applyFont="1" applyFill="1"/>
    <xf numFmtId="0" fontId="0" fillId="5" borderId="0" xfId="0" applyFill="1"/>
    <xf numFmtId="0" fontId="15" fillId="5" borderId="0" xfId="0" applyFont="1" applyFill="1"/>
    <xf numFmtId="0" fontId="16" fillId="10" borderId="1" xfId="0" applyFont="1" applyFill="1" applyBorder="1" applyAlignment="1">
      <alignment horizontal="center" vertical="center" wrapText="1"/>
    </xf>
    <xf numFmtId="2" fontId="15" fillId="14" borderId="2" xfId="1" applyNumberFormat="1" applyFont="1" applyFill="1" applyBorder="1" applyAlignment="1">
      <alignment horizontal="center" vertical="center"/>
    </xf>
    <xf numFmtId="9" fontId="15" fillId="10" borderId="1" xfId="2" applyFont="1" applyFill="1" applyBorder="1" applyAlignment="1">
      <alignment horizontal="center" vertical="center"/>
    </xf>
    <xf numFmtId="44" fontId="15" fillId="15" borderId="1" xfId="1" applyFont="1" applyFill="1" applyBorder="1"/>
    <xf numFmtId="0" fontId="16" fillId="16" borderId="1" xfId="0" applyFont="1" applyFill="1" applyBorder="1" applyAlignment="1">
      <alignment horizontal="left" vertical="center" wrapText="1"/>
    </xf>
    <xf numFmtId="44" fontId="15" fillId="17" borderId="1" xfId="1" applyFont="1" applyFill="1" applyBorder="1" applyAlignment="1">
      <alignment horizontal="center" vertical="center"/>
    </xf>
    <xf numFmtId="44" fontId="15" fillId="18" borderId="2" xfId="1" applyFont="1" applyFill="1" applyBorder="1" applyAlignment="1">
      <alignment horizontal="center" vertical="center"/>
    </xf>
    <xf numFmtId="9" fontId="15" fillId="18" borderId="1" xfId="2" applyFont="1" applyFill="1" applyBorder="1" applyAlignment="1">
      <alignment horizontal="center" vertical="center"/>
    </xf>
    <xf numFmtId="44" fontId="15" fillId="14" borderId="1" xfId="1" applyFont="1" applyFill="1" applyBorder="1" applyAlignment="1">
      <alignment horizontal="center" vertical="center"/>
    </xf>
    <xf numFmtId="44" fontId="15" fillId="18" borderId="1" xfId="1" applyFont="1" applyFill="1" applyBorder="1" applyAlignment="1">
      <alignment horizontal="center" vertical="center"/>
    </xf>
    <xf numFmtId="0" fontId="15" fillId="18" borderId="1" xfId="1" applyNumberFormat="1" applyFont="1" applyFill="1" applyBorder="1" applyAlignment="1">
      <alignment horizontal="center" vertical="center"/>
    </xf>
    <xf numFmtId="44" fontId="15" fillId="14" borderId="3" xfId="1" applyFont="1" applyFill="1" applyBorder="1" applyAlignment="1">
      <alignment horizontal="center" vertical="center"/>
    </xf>
    <xf numFmtId="9" fontId="15" fillId="10" borderId="3" xfId="2" applyFont="1" applyFill="1" applyBorder="1" applyAlignment="1">
      <alignment horizontal="center" vertical="center"/>
    </xf>
    <xf numFmtId="0" fontId="16" fillId="12" borderId="1" xfId="0" applyFont="1" applyFill="1" applyBorder="1" applyAlignment="1">
      <alignment horizontal="left" vertical="center" wrapText="1"/>
    </xf>
    <xf numFmtId="0" fontId="16" fillId="13" borderId="1" xfId="0" applyFont="1" applyFill="1" applyBorder="1" applyAlignment="1">
      <alignment horizontal="left" vertical="center" wrapText="1"/>
    </xf>
    <xf numFmtId="0" fontId="16" fillId="18" borderId="1" xfId="0" applyFont="1" applyFill="1" applyBorder="1" applyAlignment="1">
      <alignment horizontal="left" vertical="center" wrapText="1"/>
    </xf>
    <xf numFmtId="0" fontId="16" fillId="18" borderId="1" xfId="0" applyFont="1" applyFill="1" applyBorder="1" applyAlignment="1" applyProtection="1">
      <alignment horizontal="left" vertical="center" wrapText="1"/>
      <protection locked="0"/>
    </xf>
    <xf numFmtId="0" fontId="16" fillId="13" borderId="3" xfId="0" applyFont="1" applyFill="1" applyBorder="1" applyAlignment="1">
      <alignment horizontal="left" vertical="center" wrapText="1"/>
    </xf>
    <xf numFmtId="44" fontId="15" fillId="17" borderId="1" xfId="1" applyFont="1" applyFill="1" applyBorder="1"/>
    <xf numFmtId="9" fontId="15" fillId="17" borderId="1" xfId="2" applyFont="1" applyFill="1" applyBorder="1"/>
    <xf numFmtId="44" fontId="15" fillId="22" borderId="1" xfId="1" applyFont="1" applyFill="1" applyBorder="1"/>
    <xf numFmtId="9" fontId="15" fillId="22" borderId="1" xfId="2" applyFont="1" applyFill="1" applyBorder="1"/>
    <xf numFmtId="0" fontId="16" fillId="21" borderId="1" xfId="0" applyFont="1" applyFill="1" applyBorder="1" applyAlignment="1">
      <alignment horizontal="center"/>
    </xf>
    <xf numFmtId="0" fontId="13" fillId="9" borderId="0" xfId="3"/>
    <xf numFmtId="0" fontId="16" fillId="9" borderId="1" xfId="3" applyFont="1" applyBorder="1" applyAlignment="1">
      <alignment horizontal="center" vertical="center"/>
    </xf>
    <xf numFmtId="9" fontId="15" fillId="18" borderId="1" xfId="2" applyNumberFormat="1" applyFont="1" applyFill="1" applyBorder="1" applyAlignment="1">
      <alignment horizontal="center" vertical="center"/>
    </xf>
    <xf numFmtId="0" fontId="13" fillId="23" borderId="0" xfId="4"/>
    <xf numFmtId="0" fontId="15" fillId="23" borderId="0" xfId="4" applyFont="1"/>
    <xf numFmtId="0" fontId="16" fillId="24" borderId="5" xfId="4" applyFont="1" applyFill="1" applyBorder="1"/>
    <xf numFmtId="0" fontId="16" fillId="24" borderId="8" xfId="4" applyFont="1" applyFill="1" applyBorder="1"/>
    <xf numFmtId="0" fontId="16" fillId="24" borderId="4" xfId="4" applyFont="1" applyFill="1" applyBorder="1"/>
    <xf numFmtId="0" fontId="15" fillId="23" borderId="0" xfId="4" applyFont="1" applyAlignment="1">
      <alignment horizontal="center"/>
    </xf>
    <xf numFmtId="44" fontId="15" fillId="25" borderId="6" xfId="4" applyNumberFormat="1" applyFont="1" applyFill="1" applyBorder="1" applyAlignment="1">
      <alignment horizontal="center"/>
    </xf>
    <xf numFmtId="44" fontId="15" fillId="25" borderId="7" xfId="4" applyNumberFormat="1" applyFont="1" applyFill="1" applyBorder="1" applyAlignment="1">
      <alignment horizontal="center"/>
    </xf>
    <xf numFmtId="44" fontId="15" fillId="25" borderId="9" xfId="4" applyNumberFormat="1" applyFont="1" applyFill="1" applyBorder="1" applyAlignment="1">
      <alignment horizontal="center"/>
    </xf>
    <xf numFmtId="44" fontId="15" fillId="25" borderId="10" xfId="4" applyNumberFormat="1" applyFont="1" applyFill="1" applyBorder="1" applyAlignment="1">
      <alignment horizontal="center"/>
    </xf>
    <xf numFmtId="0" fontId="15" fillId="23" borderId="0" xfId="4" applyFont="1" applyAlignment="1">
      <alignment vertical="center"/>
    </xf>
    <xf numFmtId="0" fontId="16" fillId="24" borderId="4" xfId="4" applyFont="1" applyFill="1" applyBorder="1" applyAlignment="1">
      <alignment vertical="center" wrapText="1"/>
    </xf>
    <xf numFmtId="0" fontId="16" fillId="24" borderId="5" xfId="4" applyFont="1" applyFill="1" applyBorder="1" applyAlignment="1">
      <alignment vertical="center"/>
    </xf>
    <xf numFmtId="0" fontId="16" fillId="24" borderId="8" xfId="4" applyFont="1" applyFill="1" applyBorder="1" applyAlignment="1">
      <alignment vertical="center"/>
    </xf>
    <xf numFmtId="2" fontId="15" fillId="25" borderId="6" xfId="4" applyNumberFormat="1" applyFont="1" applyFill="1" applyBorder="1" applyAlignment="1">
      <alignment horizontal="center" vertical="center"/>
    </xf>
    <xf numFmtId="2" fontId="15" fillId="25" borderId="7" xfId="4" applyNumberFormat="1" applyFont="1" applyFill="1" applyBorder="1" applyAlignment="1">
      <alignment horizontal="center" vertical="center"/>
    </xf>
    <xf numFmtId="44" fontId="15" fillId="25" borderId="6" xfId="4" applyNumberFormat="1" applyFont="1" applyFill="1" applyBorder="1" applyAlignment="1">
      <alignment horizontal="center" vertical="center"/>
    </xf>
    <xf numFmtId="44" fontId="15" fillId="25" borderId="7" xfId="4" applyNumberFormat="1" applyFont="1" applyFill="1" applyBorder="1" applyAlignment="1">
      <alignment horizontal="center" vertical="center"/>
    </xf>
    <xf numFmtId="44" fontId="15" fillId="25" borderId="9" xfId="4" applyNumberFormat="1" applyFont="1" applyFill="1" applyBorder="1" applyAlignment="1">
      <alignment horizontal="center" vertical="center"/>
    </xf>
    <xf numFmtId="44" fontId="15" fillId="25" borderId="10" xfId="4" applyNumberFormat="1" applyFont="1" applyFill="1" applyBorder="1" applyAlignment="1">
      <alignment horizontal="center" vertical="center"/>
    </xf>
    <xf numFmtId="0" fontId="15" fillId="23" borderId="0" xfId="4" applyFont="1" applyAlignment="1">
      <alignment horizontal="center" vertical="center"/>
    </xf>
    <xf numFmtId="164" fontId="15" fillId="23" borderId="0" xfId="4" applyNumberFormat="1" applyFont="1" applyAlignment="1">
      <alignment horizontal="center"/>
    </xf>
    <xf numFmtId="0" fontId="16" fillId="24" borderId="1" xfId="4" applyFont="1" applyFill="1" applyBorder="1"/>
    <xf numFmtId="0" fontId="16" fillId="26" borderId="1" xfId="3" applyFont="1" applyFill="1" applyBorder="1" applyAlignment="1">
      <alignment horizontal="center" vertical="center"/>
    </xf>
    <xf numFmtId="0" fontId="15" fillId="26" borderId="1" xfId="3" applyFont="1" applyFill="1" applyBorder="1" applyAlignment="1">
      <alignment vertical="center"/>
    </xf>
    <xf numFmtId="0" fontId="16" fillId="26" borderId="1" xfId="3" applyFont="1" applyFill="1" applyBorder="1" applyAlignment="1">
      <alignment vertical="center"/>
    </xf>
    <xf numFmtId="0" fontId="16" fillId="12" borderId="1" xfId="3" applyFont="1" applyFill="1" applyBorder="1" applyAlignment="1">
      <alignment horizontal="center" vertical="center"/>
    </xf>
    <xf numFmtId="44" fontId="15" fillId="27" borderId="1" xfId="1" applyFont="1" applyFill="1" applyBorder="1" applyAlignment="1">
      <alignment vertical="center"/>
    </xf>
    <xf numFmtId="6" fontId="15" fillId="25" borderId="1" xfId="4" applyNumberFormat="1" applyFont="1" applyFill="1" applyBorder="1"/>
    <xf numFmtId="42" fontId="1" fillId="2" borderId="0" xfId="5" applyFont="1" applyFill="1"/>
    <xf numFmtId="44" fontId="20" fillId="30" borderId="11" xfId="9" applyNumberFormat="1" applyAlignment="1">
      <alignment vertical="center"/>
    </xf>
    <xf numFmtId="44" fontId="19" fillId="30" borderId="12" xfId="8" applyNumberFormat="1" applyAlignment="1">
      <alignment vertical="center"/>
    </xf>
    <xf numFmtId="44" fontId="18" fillId="29" borderId="11" xfId="7" applyNumberFormat="1" applyAlignment="1">
      <alignment vertical="center"/>
    </xf>
    <xf numFmtId="0" fontId="26" fillId="29" borderId="11" xfId="7" applyFont="1" applyAlignment="1">
      <alignment vertical="center"/>
    </xf>
    <xf numFmtId="0" fontId="21" fillId="31" borderId="0" xfId="10"/>
    <xf numFmtId="44" fontId="18" fillId="29" borderId="13" xfId="7" applyNumberFormat="1" applyBorder="1" applyAlignment="1">
      <alignment vertical="center"/>
    </xf>
    <xf numFmtId="44" fontId="19" fillId="30" borderId="1" xfId="8" applyNumberFormat="1" applyBorder="1" applyAlignment="1">
      <alignment vertical="center"/>
    </xf>
    <xf numFmtId="44" fontId="17" fillId="28" borderId="1" xfId="6" applyNumberFormat="1" applyBorder="1" applyAlignment="1">
      <alignment vertical="center"/>
    </xf>
    <xf numFmtId="0" fontId="21" fillId="31" borderId="0" xfId="10"/>
    <xf numFmtId="44" fontId="2" fillId="8" borderId="0" xfId="1" applyFont="1" applyFill="1"/>
    <xf numFmtId="0" fontId="1" fillId="33" borderId="0" xfId="0" applyFont="1" applyFill="1"/>
    <xf numFmtId="0" fontId="22" fillId="33" borderId="0" xfId="0" applyFont="1" applyFill="1"/>
    <xf numFmtId="0" fontId="31" fillId="34" borderId="11" xfId="7" applyFont="1" applyFill="1" applyAlignment="1">
      <alignment vertical="center"/>
    </xf>
    <xf numFmtId="44" fontId="13" fillId="34" borderId="11" xfId="7" applyNumberFormat="1" applyFont="1" applyFill="1" applyAlignment="1">
      <alignment vertical="center"/>
    </xf>
    <xf numFmtId="44" fontId="13" fillId="34" borderId="12" xfId="8" applyNumberFormat="1" applyFont="1" applyFill="1" applyAlignment="1">
      <alignment vertical="center"/>
    </xf>
    <xf numFmtId="44" fontId="13" fillId="34" borderId="11" xfId="9" applyNumberFormat="1" applyFont="1" applyFill="1" applyAlignment="1">
      <alignment vertical="center"/>
    </xf>
    <xf numFmtId="0" fontId="29" fillId="32" borderId="1" xfId="11" applyFont="1" applyBorder="1"/>
    <xf numFmtId="44" fontId="29" fillId="32" borderId="1" xfId="11" applyNumberFormat="1" applyFont="1" applyBorder="1"/>
    <xf numFmtId="0" fontId="33" fillId="7" borderId="0" xfId="0" applyFont="1" applyFill="1"/>
    <xf numFmtId="0" fontId="22" fillId="2" borderId="0" xfId="0" applyFont="1" applyFill="1"/>
    <xf numFmtId="44" fontId="18" fillId="29" borderId="0" xfId="7" applyNumberFormat="1" applyBorder="1" applyAlignment="1">
      <alignment vertical="center"/>
    </xf>
    <xf numFmtId="44" fontId="19" fillId="30" borderId="0" xfId="8" applyNumberFormat="1" applyBorder="1" applyAlignment="1">
      <alignment vertical="center"/>
    </xf>
    <xf numFmtId="44" fontId="17" fillId="28" borderId="0" xfId="6" applyNumberFormat="1" applyBorder="1" applyAlignment="1">
      <alignment vertical="center"/>
    </xf>
    <xf numFmtId="0" fontId="3" fillId="3" borderId="0" xfId="0" applyFont="1" applyFill="1" applyAlignment="1">
      <alignment horizontal="center"/>
    </xf>
    <xf numFmtId="0" fontId="4" fillId="3" borderId="0" xfId="0" applyFont="1" applyFill="1" applyAlignment="1">
      <alignment horizontal="center"/>
    </xf>
    <xf numFmtId="0" fontId="10" fillId="4" borderId="0" xfId="0" applyFont="1" applyFill="1" applyAlignment="1">
      <alignment horizontal="center" vertical="center"/>
    </xf>
    <xf numFmtId="0" fontId="14" fillId="5" borderId="0" xfId="0" applyFont="1" applyFill="1" applyAlignment="1">
      <alignment horizontal="center"/>
    </xf>
    <xf numFmtId="0" fontId="16" fillId="11" borderId="1" xfId="0" applyFont="1" applyFill="1" applyBorder="1" applyAlignment="1">
      <alignment horizontal="center" vertical="center"/>
    </xf>
    <xf numFmtId="0" fontId="16" fillId="12" borderId="1" xfId="0" applyFont="1" applyFill="1" applyBorder="1" applyAlignment="1">
      <alignment horizontal="center" vertical="center"/>
    </xf>
    <xf numFmtId="0" fontId="16" fillId="19" borderId="1" xfId="0" applyFont="1" applyFill="1" applyBorder="1" applyAlignment="1">
      <alignment horizontal="center" vertical="center"/>
    </xf>
    <xf numFmtId="0" fontId="16" fillId="20" borderId="1" xfId="0" applyFont="1" applyFill="1" applyBorder="1" applyAlignment="1">
      <alignment horizontal="center" vertical="center" wrapText="1"/>
    </xf>
    <xf numFmtId="0" fontId="14" fillId="11" borderId="0" xfId="3" applyFont="1" applyFill="1" applyAlignment="1">
      <alignment horizontal="center"/>
    </xf>
    <xf numFmtId="0" fontId="23" fillId="30" borderId="11" xfId="9" applyFont="1" applyAlignment="1">
      <alignment horizontal="center" vertical="center"/>
    </xf>
    <xf numFmtId="0" fontId="25" fillId="29" borderId="11" xfId="7" applyFont="1" applyAlignment="1">
      <alignment horizontal="center" vertical="center"/>
    </xf>
    <xf numFmtId="0" fontId="21" fillId="31" borderId="0" xfId="10"/>
    <xf numFmtId="44" fontId="24" fillId="30" borderId="1" xfId="8" applyNumberFormat="1" applyFont="1" applyBorder="1" applyAlignment="1">
      <alignment horizontal="center" vertical="center"/>
    </xf>
    <xf numFmtId="44" fontId="27" fillId="28" borderId="1" xfId="6" applyNumberFormat="1" applyFont="1" applyBorder="1" applyAlignment="1">
      <alignment horizontal="center" vertical="center"/>
    </xf>
    <xf numFmtId="0" fontId="25" fillId="29" borderId="22" xfId="7" applyFont="1" applyBorder="1" applyAlignment="1">
      <alignment horizontal="center" vertical="center"/>
    </xf>
    <xf numFmtId="0" fontId="25" fillId="29" borderId="23" xfId="7" applyFont="1" applyBorder="1" applyAlignment="1">
      <alignment horizontal="center" vertical="center"/>
    </xf>
    <xf numFmtId="0" fontId="25" fillId="29" borderId="24" xfId="7" applyFont="1" applyBorder="1" applyAlignment="1">
      <alignment horizontal="center" vertical="center"/>
    </xf>
    <xf numFmtId="0" fontId="25" fillId="29" borderId="13" xfId="7" applyFont="1" applyBorder="1" applyAlignment="1">
      <alignment horizontal="center" vertical="center"/>
    </xf>
    <xf numFmtId="0" fontId="24" fillId="30" borderId="12" xfId="8" applyFont="1" applyAlignment="1">
      <alignment horizontal="center" vertical="center"/>
    </xf>
    <xf numFmtId="0" fontId="29" fillId="32" borderId="2" xfId="11" applyFont="1" applyBorder="1" applyAlignment="1">
      <alignment horizontal="left"/>
    </xf>
    <xf numFmtId="0" fontId="29" fillId="32" borderId="16" xfId="11" applyFont="1" applyBorder="1" applyAlignment="1">
      <alignment horizontal="left"/>
    </xf>
    <xf numFmtId="0" fontId="29" fillId="32" borderId="17" xfId="11" applyFont="1" applyBorder="1" applyAlignment="1">
      <alignment horizontal="left"/>
    </xf>
    <xf numFmtId="0" fontId="29" fillId="32" borderId="2" xfId="11" applyFont="1" applyBorder="1" applyAlignment="1">
      <alignment horizontal="center"/>
    </xf>
    <xf numFmtId="0" fontId="29" fillId="32" borderId="16" xfId="11" applyFont="1" applyBorder="1" applyAlignment="1">
      <alignment horizontal="center"/>
    </xf>
    <xf numFmtId="0" fontId="29" fillId="32" borderId="17" xfId="11" applyFont="1" applyBorder="1" applyAlignment="1">
      <alignment horizontal="center"/>
    </xf>
    <xf numFmtId="0" fontId="29" fillId="32" borderId="1" xfId="11" applyFont="1" applyBorder="1" applyAlignment="1">
      <alignment horizontal="left"/>
    </xf>
    <xf numFmtId="0" fontId="29" fillId="32" borderId="18" xfId="11" applyFont="1" applyBorder="1" applyAlignment="1">
      <alignment horizontal="center"/>
    </xf>
    <xf numFmtId="0" fontId="29" fillId="32" borderId="14" xfId="11" applyFont="1" applyBorder="1" applyAlignment="1">
      <alignment horizontal="center"/>
    </xf>
    <xf numFmtId="0" fontId="29" fillId="32" borderId="19" xfId="11" applyFont="1" applyBorder="1" applyAlignment="1">
      <alignment horizontal="center"/>
    </xf>
    <xf numFmtId="0" fontId="29" fillId="32" borderId="20" xfId="11" applyFont="1" applyBorder="1" applyAlignment="1">
      <alignment horizontal="center"/>
    </xf>
    <xf numFmtId="0" fontId="29" fillId="32" borderId="15" xfId="11" applyFont="1" applyBorder="1" applyAlignment="1">
      <alignment horizontal="center"/>
    </xf>
    <xf numFmtId="0" fontId="29" fillId="32" borderId="21" xfId="11" applyFont="1" applyBorder="1" applyAlignment="1">
      <alignment horizontal="center"/>
    </xf>
    <xf numFmtId="0" fontId="32" fillId="34" borderId="22" xfId="7" applyFont="1" applyFill="1" applyBorder="1" applyAlignment="1">
      <alignment horizontal="center" vertical="center"/>
    </xf>
    <xf numFmtId="0" fontId="32" fillId="34" borderId="23" xfId="7" applyFont="1" applyFill="1" applyBorder="1" applyAlignment="1">
      <alignment horizontal="center" vertical="center"/>
    </xf>
    <xf numFmtId="0" fontId="32" fillId="34" borderId="24" xfId="7" applyFont="1" applyFill="1" applyBorder="1" applyAlignment="1">
      <alignment horizontal="center" vertical="center"/>
    </xf>
    <xf numFmtId="0" fontId="32" fillId="34" borderId="22" xfId="9" applyFont="1" applyFill="1" applyBorder="1" applyAlignment="1">
      <alignment horizontal="center" vertical="center"/>
    </xf>
    <xf numFmtId="0" fontId="32" fillId="34" borderId="23" xfId="9" applyFont="1" applyFill="1" applyBorder="1" applyAlignment="1">
      <alignment horizontal="center" vertical="center"/>
    </xf>
    <xf numFmtId="0" fontId="32" fillId="34" borderId="24" xfId="9" applyFont="1" applyFill="1" applyBorder="1" applyAlignment="1">
      <alignment horizontal="center" vertical="center"/>
    </xf>
    <xf numFmtId="0" fontId="30" fillId="34" borderId="22" xfId="7" applyFont="1" applyFill="1" applyBorder="1" applyAlignment="1">
      <alignment horizontal="center" vertical="center"/>
    </xf>
    <xf numFmtId="0" fontId="30" fillId="34" borderId="23" xfId="7" applyFont="1" applyFill="1" applyBorder="1" applyAlignment="1">
      <alignment horizontal="center" vertical="center"/>
    </xf>
    <xf numFmtId="0" fontId="30" fillId="34" borderId="24" xfId="7" applyFont="1" applyFill="1" applyBorder="1" applyAlignment="1">
      <alignment horizontal="center" vertical="center"/>
    </xf>
  </cellXfs>
  <cellStyles count="12">
    <cellStyle name="20% - Énfasis2" xfId="3" builtinId="34"/>
    <cellStyle name="20% - Énfasis6" xfId="4" builtinId="50"/>
    <cellStyle name="Bueno" xfId="6" builtinId="26"/>
    <cellStyle name="Cálculo" xfId="9" builtinId="22"/>
    <cellStyle name="Énfasis4" xfId="10" builtinId="41"/>
    <cellStyle name="Entrada" xfId="7" builtinId="20"/>
    <cellStyle name="Incorrecto" xfId="11" builtinId="27"/>
    <cellStyle name="Moneda" xfId="1" builtinId="4"/>
    <cellStyle name="Moneda [0]" xfId="5" builtinId="7"/>
    <cellStyle name="Normal" xfId="0" builtinId="0"/>
    <cellStyle name="Porcentaje" xfId="2" builtinId="5"/>
    <cellStyle name="Salida" xfId="8" builtinId="21"/>
  </cellStyles>
  <dxfs count="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none"/>
      </font>
      <numFmt numFmtId="13" formatCode="0%"/>
      <fill>
        <patternFill patternType="solid">
          <fgColor indexed="64"/>
          <bgColor rgb="FFCCCCFF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Light"/>
        <family val="2"/>
        <scheme val="none"/>
      </font>
      <fill>
        <patternFill patternType="solid">
          <fgColor indexed="64"/>
          <bgColor rgb="FFCCECFF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none"/>
      </font>
      <fill>
        <patternFill patternType="solid">
          <fgColor indexed="64"/>
          <bgColor rgb="FFCCCCFF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Light"/>
        <family val="2"/>
        <scheme val="none"/>
      </font>
      <fill>
        <patternFill patternType="solid">
          <fgColor indexed="64"/>
          <bgColor rgb="FF9933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none"/>
      </font>
      <fill>
        <patternFill patternType="solid">
          <fgColor indexed="64"/>
          <bgColor rgb="FFCC99FF"/>
        </patternFill>
      </fill>
      <alignment horizontal="general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Light"/>
        <family val="2"/>
        <scheme val="none"/>
      </font>
      <fill>
        <patternFill patternType="solid">
          <fgColor indexed="64"/>
          <bgColor rgb="FF9933FF"/>
        </patternFill>
      </fill>
    </dxf>
    <dxf>
      <border outline="0"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Century Gothic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Century Gothic"/>
        <family val="2"/>
        <scheme val="none"/>
      </font>
    </dxf>
  </dxfs>
  <tableStyles count="0" defaultTableStyle="TableStyleMedium2" defaultPivotStyle="PivotStyleLight16"/>
  <colors>
    <mruColors>
      <color rgb="FFCCFFFF"/>
      <color rgb="FFFFCCFF"/>
      <color rgb="FFFFCC99"/>
      <color rgb="FFFF9900"/>
      <color rgb="FF99FF99"/>
      <color rgb="FFFFCC66"/>
      <color rgb="FFFFFF00"/>
      <color rgb="FFFF33CC"/>
      <color rgb="FFCC0000"/>
      <color rgb="FFFF33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https://upload.wikimedia.org/wikipedia/commons/thumb/f/f8/Logo_Instituto_Polit%C3%A9cnico_Nacional.png/1200px-Logo_Instituto_Polit%C3%A9cnico_Nacional.png" TargetMode="External"/><Relationship Id="rId1" Type="http://schemas.openxmlformats.org/officeDocument/2006/relationships/image" Target="../media/image1.png"/><Relationship Id="rId5" Type="http://schemas.openxmlformats.org/officeDocument/2006/relationships/image" Target="../media/image4.png"/><Relationship Id="rId4" Type="http://schemas.openxmlformats.org/officeDocument/2006/relationships/image" Target="../media/image3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png"/><Relationship Id="rId2" Type="http://schemas.openxmlformats.org/officeDocument/2006/relationships/image" Target="../media/image6.png"/><Relationship Id="rId1" Type="http://schemas.openxmlformats.org/officeDocument/2006/relationships/image" Target="../media/image5.png"/><Relationship Id="rId5" Type="http://schemas.openxmlformats.org/officeDocument/2006/relationships/image" Target="../media/image9.png"/><Relationship Id="rId4" Type="http://schemas.openxmlformats.org/officeDocument/2006/relationships/image" Target="../media/image8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609600</xdr:colOff>
      <xdr:row>0</xdr:row>
      <xdr:rowOff>19050</xdr:rowOff>
    </xdr:from>
    <xdr:to>
      <xdr:col>6</xdr:col>
      <xdr:colOff>165600</xdr:colOff>
      <xdr:row>4</xdr:row>
      <xdr:rowOff>241800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8B075D15-6470-41AE-BA63-F343BEBFEBBF}"/>
            </a:ext>
          </a:extLst>
        </xdr:cNvPr>
        <xdr:cNvPicPr/>
      </xdr:nvPicPr>
      <xdr:blipFill>
        <a:blip xmlns:r="http://schemas.openxmlformats.org/officeDocument/2006/relationships" r:embed="rId1" r:link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7500" r="20000"/>
        <a:stretch>
          <a:fillRect/>
        </a:stretch>
      </xdr:blipFill>
      <xdr:spPr bwMode="auto">
        <a:xfrm>
          <a:off x="3657600" y="19050"/>
          <a:ext cx="1080000" cy="1080000"/>
        </a:xfrm>
        <a:prstGeom prst="rect">
          <a:avLst/>
        </a:prstGeom>
        <a:noFill/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10</xdr:col>
      <xdr:colOff>152400</xdr:colOff>
      <xdr:row>0</xdr:row>
      <xdr:rowOff>95250</xdr:rowOff>
    </xdr:from>
    <xdr:to>
      <xdr:col>11</xdr:col>
      <xdr:colOff>617941</xdr:colOff>
      <xdr:row>4</xdr:row>
      <xdr:rowOff>174000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B87F444-762B-4EE2-BD7A-446F81F59B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772400" y="95250"/>
          <a:ext cx="1227541" cy="936000"/>
        </a:xfrm>
        <a:prstGeom prst="rect">
          <a:avLst/>
        </a:prstGeom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2</xdr:col>
      <xdr:colOff>0</xdr:colOff>
      <xdr:row>6</xdr:row>
      <xdr:rowOff>0</xdr:rowOff>
    </xdr:from>
    <xdr:to>
      <xdr:col>6</xdr:col>
      <xdr:colOff>37714</xdr:colOff>
      <xdr:row>14</xdr:row>
      <xdr:rowOff>9300</xdr:rowOff>
    </xdr:to>
    <xdr:pic>
      <xdr:nvPicPr>
        <xdr:cNvPr id="13" name="Imagen 12" descr="Servicios de expertos en Contabilidad para Pymes | Mcontabilidad">
          <a:extLst>
            <a:ext uri="{FF2B5EF4-FFF2-40B4-BE49-F238E27FC236}">
              <a16:creationId xmlns:a16="http://schemas.microsoft.com/office/drawing/2014/main" id="{2F16DBAA-526E-4012-AC26-13AD26A8B86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24000" y="1352550"/>
          <a:ext cx="3085714" cy="1800000"/>
        </a:xfrm>
        <a:prstGeom prst="rect">
          <a:avLst/>
        </a:prstGeom>
        <a:noFill/>
        <a:effectLst>
          <a:outerShdw blurRad="63500" sx="102000" sy="102000" algn="ctr" rotWithShape="0">
            <a:prstClr val="black">
              <a:alpha val="40000"/>
            </a:prst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9525</xdr:colOff>
      <xdr:row>5</xdr:row>
      <xdr:rowOff>9525</xdr:rowOff>
    </xdr:from>
    <xdr:to>
      <xdr:col>13</xdr:col>
      <xdr:colOff>63525</xdr:colOff>
      <xdr:row>15</xdr:row>
      <xdr:rowOff>63525</xdr:rowOff>
    </xdr:to>
    <xdr:pic>
      <xdr:nvPicPr>
        <xdr:cNvPr id="18" name="Imagen 17" descr="Servicios de contabilidad y administración | MG Asociados SAS">
          <a:extLst>
            <a:ext uri="{FF2B5EF4-FFF2-40B4-BE49-F238E27FC236}">
              <a16:creationId xmlns:a16="http://schemas.microsoft.com/office/drawing/2014/main" id="{ED88B972-B98F-430B-AB28-6E721F1840D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29525" y="1114425"/>
          <a:ext cx="2340000" cy="2340000"/>
        </a:xfrm>
        <a:prstGeom prst="rect">
          <a:avLst/>
        </a:prstGeom>
        <a:noFill/>
        <a:effectLst>
          <a:outerShdw blurRad="63500" sx="102000" sy="102000" algn="ctr" rotWithShape="0">
            <a:prstClr val="black">
              <a:alpha val="40000"/>
            </a:prst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7</xdr:col>
      <xdr:colOff>228600</xdr:colOff>
      <xdr:row>16</xdr:row>
      <xdr:rowOff>161925</xdr:rowOff>
    </xdr:from>
    <xdr:to>
      <xdr:col>8</xdr:col>
      <xdr:colOff>546600</xdr:colOff>
      <xdr:row>18</xdr:row>
      <xdr:rowOff>159975</xdr:rowOff>
    </xdr:to>
    <xdr:sp macro="[0]!Menú" textlink="">
      <xdr:nvSpPr>
        <xdr:cNvPr id="20" name="Rectángulo: esquinas redondeadas 19">
          <a:extLst>
            <a:ext uri="{FF2B5EF4-FFF2-40B4-BE49-F238E27FC236}">
              <a16:creationId xmlns:a16="http://schemas.microsoft.com/office/drawing/2014/main" id="{9CA2080A-A217-4CD9-AC49-6755CAEEAABB}"/>
            </a:ext>
          </a:extLst>
        </xdr:cNvPr>
        <xdr:cNvSpPr/>
      </xdr:nvSpPr>
      <xdr:spPr>
        <a:xfrm>
          <a:off x="5562600" y="3781425"/>
          <a:ext cx="1080000" cy="360000"/>
        </a:xfrm>
        <a:prstGeom prst="roundRect">
          <a:avLst>
            <a:gd name="adj" fmla="val 50000"/>
          </a:avLst>
        </a:prstGeom>
        <a:solidFill>
          <a:schemeClr val="bg2">
            <a:lumMod val="50000"/>
          </a:schemeClr>
        </a:solidFill>
        <a:effectLst>
          <a:outerShdw blurRad="63500" sx="102000" sy="102000" algn="ctr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3">
          <a:schemeClr val="lt1"/>
        </a:lnRef>
        <a:fillRef idx="1">
          <a:schemeClr val="accent3"/>
        </a:fillRef>
        <a:effectRef idx="1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MX" sz="1100" b="1">
              <a:solidFill>
                <a:schemeClr val="bg1">
                  <a:lumMod val="95000"/>
                </a:schemeClr>
              </a:solidFill>
              <a:latin typeface="Bahnschrift Light" panose="020B0502040204020203" pitchFamily="34" charset="0"/>
            </a:rPr>
            <a:t>Menú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638175</xdr:colOff>
      <xdr:row>16</xdr:row>
      <xdr:rowOff>133350</xdr:rowOff>
    </xdr:from>
    <xdr:to>
      <xdr:col>6</xdr:col>
      <xdr:colOff>194175</xdr:colOff>
      <xdr:row>18</xdr:row>
      <xdr:rowOff>131400</xdr:rowOff>
    </xdr:to>
    <xdr:sp macro="[0]!Inicio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CC9E6E60-DF89-4AAD-8231-FFEA465C8770}"/>
            </a:ext>
          </a:extLst>
        </xdr:cNvPr>
        <xdr:cNvSpPr/>
      </xdr:nvSpPr>
      <xdr:spPr>
        <a:xfrm>
          <a:off x="3686175" y="3028950"/>
          <a:ext cx="1080000" cy="360000"/>
        </a:xfrm>
        <a:prstGeom prst="roundRect">
          <a:avLst>
            <a:gd name="adj" fmla="val 50000"/>
          </a:avLst>
        </a:prstGeom>
        <a:solidFill>
          <a:schemeClr val="bg2">
            <a:lumMod val="50000"/>
          </a:schemeClr>
        </a:solidFill>
        <a:effectLst>
          <a:outerShdw blurRad="63500" sx="102000" sy="102000" algn="ctr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3">
          <a:schemeClr val="lt1"/>
        </a:lnRef>
        <a:fillRef idx="1">
          <a:schemeClr val="accent3"/>
        </a:fillRef>
        <a:effectRef idx="1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MX" sz="1100" b="1">
              <a:solidFill>
                <a:schemeClr val="bg1">
                  <a:lumMod val="95000"/>
                </a:schemeClr>
              </a:solidFill>
              <a:latin typeface="Bahnschrift Light" panose="020B0502040204020203" pitchFamily="34" charset="0"/>
            </a:rPr>
            <a:t>Inicio</a:t>
          </a:r>
        </a:p>
      </xdr:txBody>
    </xdr:sp>
    <xdr:clientData/>
  </xdr:twoCellAnchor>
  <xdr:twoCellAnchor editAs="oneCell">
    <xdr:from>
      <xdr:col>9</xdr:col>
      <xdr:colOff>114300</xdr:colOff>
      <xdr:row>4</xdr:row>
      <xdr:rowOff>0</xdr:rowOff>
    </xdr:from>
    <xdr:to>
      <xdr:col>9</xdr:col>
      <xdr:colOff>654300</xdr:colOff>
      <xdr:row>6</xdr:row>
      <xdr:rowOff>178050</xdr:rowOff>
    </xdr:to>
    <xdr:pic macro="[0]!Datos">
      <xdr:nvPicPr>
        <xdr:cNvPr id="29" name="Imagen 28">
          <a:extLst>
            <a:ext uri="{FF2B5EF4-FFF2-40B4-BE49-F238E27FC236}">
              <a16:creationId xmlns:a16="http://schemas.microsoft.com/office/drawing/2014/main" id="{5C87C60D-A2E9-4006-AFF3-AEF17F26F4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72300" y="723900"/>
          <a:ext cx="540000" cy="540000"/>
        </a:xfrm>
        <a:prstGeom prst="rect">
          <a:avLst/>
        </a:prstGeom>
      </xdr:spPr>
    </xdr:pic>
    <xdr:clientData/>
  </xdr:twoCellAnchor>
  <xdr:twoCellAnchor editAs="oneCell">
    <xdr:from>
      <xdr:col>9</xdr:col>
      <xdr:colOff>114300</xdr:colOff>
      <xdr:row>7</xdr:row>
      <xdr:rowOff>0</xdr:rowOff>
    </xdr:from>
    <xdr:to>
      <xdr:col>9</xdr:col>
      <xdr:colOff>654300</xdr:colOff>
      <xdr:row>9</xdr:row>
      <xdr:rowOff>178050</xdr:rowOff>
    </xdr:to>
    <xdr:pic macro="[0]!Estado">
      <xdr:nvPicPr>
        <xdr:cNvPr id="30" name="Imagen 29">
          <a:extLst>
            <a:ext uri="{FF2B5EF4-FFF2-40B4-BE49-F238E27FC236}">
              <a16:creationId xmlns:a16="http://schemas.microsoft.com/office/drawing/2014/main" id="{717CF119-44BB-460D-91C8-6790CBE355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72300" y="1266825"/>
          <a:ext cx="540000" cy="540000"/>
        </a:xfrm>
        <a:prstGeom prst="rect">
          <a:avLst/>
        </a:prstGeom>
      </xdr:spPr>
    </xdr:pic>
    <xdr:clientData/>
  </xdr:twoCellAnchor>
  <xdr:twoCellAnchor editAs="oneCell">
    <xdr:from>
      <xdr:col>9</xdr:col>
      <xdr:colOff>114300</xdr:colOff>
      <xdr:row>10</xdr:row>
      <xdr:rowOff>0</xdr:rowOff>
    </xdr:from>
    <xdr:to>
      <xdr:col>9</xdr:col>
      <xdr:colOff>654300</xdr:colOff>
      <xdr:row>12</xdr:row>
      <xdr:rowOff>178050</xdr:rowOff>
    </xdr:to>
    <xdr:pic macro="[0]!Flujo">
      <xdr:nvPicPr>
        <xdr:cNvPr id="31" name="Imagen 30">
          <a:extLst>
            <a:ext uri="{FF2B5EF4-FFF2-40B4-BE49-F238E27FC236}">
              <a16:creationId xmlns:a16="http://schemas.microsoft.com/office/drawing/2014/main" id="{5843DD75-81C8-4CED-B852-D9CCB0F5C3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72300" y="1809750"/>
          <a:ext cx="540000" cy="540000"/>
        </a:xfrm>
        <a:prstGeom prst="rect">
          <a:avLst/>
        </a:prstGeom>
      </xdr:spPr>
    </xdr:pic>
    <xdr:clientData/>
  </xdr:twoCellAnchor>
  <xdr:twoCellAnchor editAs="oneCell">
    <xdr:from>
      <xdr:col>9</xdr:col>
      <xdr:colOff>114300</xdr:colOff>
      <xdr:row>13</xdr:row>
      <xdr:rowOff>0</xdr:rowOff>
    </xdr:from>
    <xdr:to>
      <xdr:col>9</xdr:col>
      <xdr:colOff>654300</xdr:colOff>
      <xdr:row>15</xdr:row>
      <xdr:rowOff>178050</xdr:rowOff>
    </xdr:to>
    <xdr:pic macro="[0]!Balance">
      <xdr:nvPicPr>
        <xdr:cNvPr id="32" name="Imagen 31">
          <a:extLst>
            <a:ext uri="{FF2B5EF4-FFF2-40B4-BE49-F238E27FC236}">
              <a16:creationId xmlns:a16="http://schemas.microsoft.com/office/drawing/2014/main" id="{FCE6866E-A4C4-4E37-858E-AC3E17E413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72300" y="2352675"/>
          <a:ext cx="540000" cy="540000"/>
        </a:xfrm>
        <a:prstGeom prst="rect">
          <a:avLst/>
        </a:prstGeom>
      </xdr:spPr>
    </xdr:pic>
    <xdr:clientData/>
  </xdr:twoCellAnchor>
  <xdr:twoCellAnchor editAs="oneCell">
    <xdr:from>
      <xdr:col>9</xdr:col>
      <xdr:colOff>114300</xdr:colOff>
      <xdr:row>16</xdr:row>
      <xdr:rowOff>0</xdr:rowOff>
    </xdr:from>
    <xdr:to>
      <xdr:col>9</xdr:col>
      <xdr:colOff>654300</xdr:colOff>
      <xdr:row>18</xdr:row>
      <xdr:rowOff>178050</xdr:rowOff>
    </xdr:to>
    <xdr:pic macro="[0]!Resultados">
      <xdr:nvPicPr>
        <xdr:cNvPr id="33" name="Imagen 32">
          <a:extLst>
            <a:ext uri="{FF2B5EF4-FFF2-40B4-BE49-F238E27FC236}">
              <a16:creationId xmlns:a16="http://schemas.microsoft.com/office/drawing/2014/main" id="{5152E8DF-8EE8-4643-80F3-1B9EB4BD17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72300" y="2895600"/>
          <a:ext cx="540000" cy="5400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676275</xdr:colOff>
      <xdr:row>15</xdr:row>
      <xdr:rowOff>314325</xdr:rowOff>
    </xdr:from>
    <xdr:to>
      <xdr:col>9</xdr:col>
      <xdr:colOff>232275</xdr:colOff>
      <xdr:row>17</xdr:row>
      <xdr:rowOff>169500</xdr:rowOff>
    </xdr:to>
    <xdr:sp macro="[0]!Menú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EAEC1116-B21A-4023-9E61-87FB34A04740}"/>
            </a:ext>
          </a:extLst>
        </xdr:cNvPr>
        <xdr:cNvSpPr/>
      </xdr:nvSpPr>
      <xdr:spPr>
        <a:xfrm>
          <a:off x="7591425" y="5019675"/>
          <a:ext cx="1422900" cy="417150"/>
        </a:xfrm>
        <a:prstGeom prst="roundRect">
          <a:avLst>
            <a:gd name="adj" fmla="val 50000"/>
          </a:avLst>
        </a:prstGeom>
        <a:solidFill>
          <a:schemeClr val="bg2">
            <a:lumMod val="50000"/>
          </a:schemeClr>
        </a:solidFill>
        <a:effectLst>
          <a:outerShdw blurRad="63500" sx="102000" sy="102000" algn="ctr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3">
          <a:schemeClr val="lt1"/>
        </a:lnRef>
        <a:fillRef idx="1">
          <a:schemeClr val="accent3"/>
        </a:fillRef>
        <a:effectRef idx="1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MX" sz="1100" b="1">
              <a:solidFill>
                <a:schemeClr val="bg1">
                  <a:lumMod val="95000"/>
                </a:schemeClr>
              </a:solidFill>
              <a:latin typeface="Bahnschrift Light" panose="020B0502040204020203" pitchFamily="34" charset="0"/>
            </a:rPr>
            <a:t>Menú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171450</xdr:colOff>
      <xdr:row>10</xdr:row>
      <xdr:rowOff>9525</xdr:rowOff>
    </xdr:from>
    <xdr:to>
      <xdr:col>11</xdr:col>
      <xdr:colOff>651375</xdr:colOff>
      <xdr:row>11</xdr:row>
      <xdr:rowOff>179025</xdr:rowOff>
    </xdr:to>
    <xdr:sp macro="[0]!Menú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D644841-3182-45F1-AE84-3F9E2C644D17}"/>
            </a:ext>
          </a:extLst>
        </xdr:cNvPr>
        <xdr:cNvSpPr/>
      </xdr:nvSpPr>
      <xdr:spPr>
        <a:xfrm>
          <a:off x="10477500" y="1990725"/>
          <a:ext cx="1241925" cy="379050"/>
        </a:xfrm>
        <a:prstGeom prst="roundRect">
          <a:avLst>
            <a:gd name="adj" fmla="val 50000"/>
          </a:avLst>
        </a:prstGeom>
        <a:solidFill>
          <a:schemeClr val="bg2">
            <a:lumMod val="50000"/>
          </a:schemeClr>
        </a:solidFill>
        <a:effectLst>
          <a:outerShdw blurRad="63500" sx="102000" sy="102000" algn="ctr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3">
          <a:schemeClr val="lt1"/>
        </a:lnRef>
        <a:fillRef idx="1">
          <a:schemeClr val="accent3"/>
        </a:fillRef>
        <a:effectRef idx="1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MX" sz="1100" b="1">
              <a:solidFill>
                <a:schemeClr val="bg1">
                  <a:lumMod val="95000"/>
                </a:schemeClr>
              </a:solidFill>
              <a:latin typeface="Bahnschrift Light" panose="020B0502040204020203" pitchFamily="34" charset="0"/>
            </a:rPr>
            <a:t>Menú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657225</xdr:colOff>
      <xdr:row>20</xdr:row>
      <xdr:rowOff>28575</xdr:rowOff>
    </xdr:from>
    <xdr:to>
      <xdr:col>6</xdr:col>
      <xdr:colOff>975225</xdr:colOff>
      <xdr:row>22</xdr:row>
      <xdr:rowOff>26625</xdr:rowOff>
    </xdr:to>
    <xdr:sp macro="[0]!Menú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10BF3A74-A65C-4ADE-8F33-8F115E864CF9}"/>
            </a:ext>
          </a:extLst>
        </xdr:cNvPr>
        <xdr:cNvSpPr/>
      </xdr:nvSpPr>
      <xdr:spPr>
        <a:xfrm>
          <a:off x="5286375" y="3781425"/>
          <a:ext cx="1689600" cy="360000"/>
        </a:xfrm>
        <a:prstGeom prst="roundRect">
          <a:avLst>
            <a:gd name="adj" fmla="val 50000"/>
          </a:avLst>
        </a:prstGeom>
        <a:solidFill>
          <a:schemeClr val="bg2">
            <a:lumMod val="50000"/>
          </a:schemeClr>
        </a:solidFill>
        <a:effectLst>
          <a:outerShdw blurRad="63500" sx="102000" sy="102000" algn="ctr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3">
          <a:schemeClr val="lt1"/>
        </a:lnRef>
        <a:fillRef idx="1">
          <a:schemeClr val="accent3"/>
        </a:fillRef>
        <a:effectRef idx="1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MX" sz="1100" b="1">
              <a:solidFill>
                <a:schemeClr val="bg1">
                  <a:lumMod val="95000"/>
                </a:schemeClr>
              </a:solidFill>
              <a:latin typeface="Bahnschrift Light" panose="020B0502040204020203" pitchFamily="34" charset="0"/>
            </a:rPr>
            <a:t>Menú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638175</xdr:colOff>
      <xdr:row>12</xdr:row>
      <xdr:rowOff>152400</xdr:rowOff>
    </xdr:from>
    <xdr:to>
      <xdr:col>13</xdr:col>
      <xdr:colOff>527550</xdr:colOff>
      <xdr:row>15</xdr:row>
      <xdr:rowOff>26625</xdr:rowOff>
    </xdr:to>
    <xdr:sp macro="[0]!Menú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2BFFDA9B-877C-42BD-BC14-562E12BA3EBB}"/>
            </a:ext>
          </a:extLst>
        </xdr:cNvPr>
        <xdr:cNvSpPr/>
      </xdr:nvSpPr>
      <xdr:spPr>
        <a:xfrm>
          <a:off x="10839450" y="2514600"/>
          <a:ext cx="1413375" cy="426675"/>
        </a:xfrm>
        <a:prstGeom prst="roundRect">
          <a:avLst>
            <a:gd name="adj" fmla="val 50000"/>
          </a:avLst>
        </a:prstGeom>
        <a:solidFill>
          <a:schemeClr val="bg2">
            <a:lumMod val="50000"/>
          </a:schemeClr>
        </a:solidFill>
        <a:effectLst>
          <a:outerShdw blurRad="63500" sx="102000" sy="102000" algn="ctr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3">
          <a:schemeClr val="lt1"/>
        </a:lnRef>
        <a:fillRef idx="1">
          <a:schemeClr val="accent3"/>
        </a:fillRef>
        <a:effectRef idx="1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MX" sz="1100" b="1">
              <a:solidFill>
                <a:schemeClr val="bg1">
                  <a:lumMod val="95000"/>
                </a:schemeClr>
              </a:solidFill>
              <a:latin typeface="Bahnschrift Light" panose="020B0502040204020203" pitchFamily="34" charset="0"/>
            </a:rPr>
            <a:t>Menú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895350</xdr:colOff>
      <xdr:row>6</xdr:row>
      <xdr:rowOff>9525</xdr:rowOff>
    </xdr:from>
    <xdr:to>
      <xdr:col>12</xdr:col>
      <xdr:colOff>441825</xdr:colOff>
      <xdr:row>7</xdr:row>
      <xdr:rowOff>169500</xdr:rowOff>
    </xdr:to>
    <xdr:sp macro="[0]!Menú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E6B92A97-1E44-4668-9D6D-CC6205CAAFA0}"/>
            </a:ext>
          </a:extLst>
        </xdr:cNvPr>
        <xdr:cNvSpPr/>
      </xdr:nvSpPr>
      <xdr:spPr>
        <a:xfrm>
          <a:off x="9658350" y="1371600"/>
          <a:ext cx="1289550" cy="360000"/>
        </a:xfrm>
        <a:prstGeom prst="roundRect">
          <a:avLst>
            <a:gd name="adj" fmla="val 50000"/>
          </a:avLst>
        </a:prstGeom>
        <a:solidFill>
          <a:schemeClr val="bg2">
            <a:lumMod val="50000"/>
          </a:schemeClr>
        </a:solidFill>
        <a:effectLst>
          <a:outerShdw blurRad="63500" sx="102000" sy="102000" algn="ctr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3">
          <a:schemeClr val="lt1"/>
        </a:lnRef>
        <a:fillRef idx="1">
          <a:schemeClr val="accent3"/>
        </a:fillRef>
        <a:effectRef idx="1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MX" sz="1100" b="1">
              <a:solidFill>
                <a:schemeClr val="bg1">
                  <a:lumMod val="95000"/>
                </a:schemeClr>
              </a:solidFill>
              <a:latin typeface="Bahnschrift Light" panose="020B0502040204020203" pitchFamily="34" charset="0"/>
            </a:rPr>
            <a:t>Menú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E369F16-41F9-4FFD-B0CB-86610E9FF549}" name="Tabla2" displayName="Tabla2" ref="B5:D12" headerRowCount="0" totalsRowShown="0" headerRowDxfId="8" dataDxfId="7" tableBorderDxfId="6">
  <tableColumns count="3">
    <tableColumn id="1" xr3:uid="{EA16B29A-7321-4E91-9E35-07CA9046ADD8}" name="Columna1" headerRowDxfId="5" dataDxfId="4"/>
    <tableColumn id="2" xr3:uid="{7353F70A-708C-4E70-A10C-F31A62FBB889}" name="Columna2" headerRowDxfId="3" dataDxfId="2" dataCellStyle="Moneda"/>
    <tableColumn id="3" xr3:uid="{96769541-A652-4D4E-94CE-02EA559CAD94}" name="Columna3" headerRowDxfId="1" dataDxfId="0" dataCellStyle="Porcentaje"/>
  </tableColumns>
  <tableStyleInfo showFirstColumn="0" showLastColumn="0" showRowStripes="0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24B48D-6E8C-4D1D-87D1-43DE92AA4B96}">
  <sheetPr codeName="Hoja1">
    <tabColor rgb="FF669900"/>
  </sheetPr>
  <dimension ref="B2:L16"/>
  <sheetViews>
    <sheetView workbookViewId="0">
      <selection activeCell="B1" sqref="B1"/>
    </sheetView>
  </sheetViews>
  <sheetFormatPr baseColWidth="10" defaultRowHeight="14.25" x14ac:dyDescent="0.2"/>
  <cols>
    <col min="1" max="16384" width="11.42578125" style="1"/>
  </cols>
  <sheetData>
    <row r="2" spans="2:12" ht="19.5" x14ac:dyDescent="0.25">
      <c r="F2" s="94" t="s">
        <v>0</v>
      </c>
      <c r="G2" s="94"/>
      <c r="H2" s="94"/>
      <c r="I2" s="94"/>
      <c r="J2" s="94"/>
      <c r="K2" s="94"/>
    </row>
    <row r="3" spans="2:12" ht="19.5" x14ac:dyDescent="0.25">
      <c r="B3" s="2"/>
      <c r="F3" s="94" t="s">
        <v>1</v>
      </c>
      <c r="G3" s="94"/>
      <c r="H3" s="94"/>
      <c r="I3" s="94"/>
      <c r="J3" s="94"/>
      <c r="K3" s="94"/>
    </row>
    <row r="5" spans="2:12" ht="19.5" x14ac:dyDescent="0.25">
      <c r="F5" s="94" t="s">
        <v>2</v>
      </c>
      <c r="G5" s="94"/>
      <c r="H5" s="94"/>
      <c r="I5" s="94"/>
      <c r="J5" s="94"/>
      <c r="K5" s="94"/>
    </row>
    <row r="6" spans="2:12" ht="19.5" x14ac:dyDescent="0.25">
      <c r="F6" s="95" t="s">
        <v>10</v>
      </c>
      <c r="G6" s="94"/>
      <c r="H6" s="94"/>
      <c r="I6" s="94"/>
      <c r="J6" s="94"/>
      <c r="K6" s="94"/>
    </row>
    <row r="7" spans="2:12" ht="15" x14ac:dyDescent="0.25">
      <c r="L7" s="2"/>
    </row>
    <row r="8" spans="2:12" ht="19.5" x14ac:dyDescent="0.25">
      <c r="C8" s="2"/>
      <c r="F8" s="94" t="s">
        <v>3</v>
      </c>
      <c r="G8" s="94"/>
      <c r="H8" s="94"/>
      <c r="I8" s="94"/>
      <c r="J8" s="94"/>
      <c r="K8" s="94"/>
    </row>
    <row r="10" spans="2:12" ht="19.5" x14ac:dyDescent="0.25">
      <c r="F10" s="94" t="s">
        <v>4</v>
      </c>
      <c r="G10" s="94"/>
      <c r="H10" s="94"/>
      <c r="I10" s="94"/>
      <c r="J10" s="94"/>
      <c r="K10" s="94"/>
    </row>
    <row r="12" spans="2:12" ht="19.5" x14ac:dyDescent="0.25">
      <c r="F12" s="94" t="s">
        <v>5</v>
      </c>
      <c r="G12" s="94"/>
      <c r="H12" s="94"/>
      <c r="I12" s="94"/>
      <c r="J12" s="94"/>
      <c r="K12" s="94"/>
    </row>
    <row r="13" spans="2:12" ht="19.5" x14ac:dyDescent="0.25">
      <c r="F13" s="94" t="s">
        <v>6</v>
      </c>
      <c r="G13" s="94"/>
      <c r="H13" s="94"/>
      <c r="I13" s="94"/>
      <c r="J13" s="94"/>
      <c r="K13" s="94"/>
    </row>
    <row r="14" spans="2:12" ht="19.5" x14ac:dyDescent="0.25">
      <c r="F14" s="94" t="s">
        <v>7</v>
      </c>
      <c r="G14" s="94"/>
      <c r="H14" s="94"/>
      <c r="I14" s="94"/>
      <c r="J14" s="94"/>
      <c r="K14" s="94"/>
    </row>
    <row r="15" spans="2:12" ht="19.5" x14ac:dyDescent="0.25">
      <c r="F15" s="94" t="s">
        <v>8</v>
      </c>
      <c r="G15" s="94"/>
      <c r="H15" s="94"/>
      <c r="I15" s="94"/>
      <c r="J15" s="94"/>
      <c r="K15" s="94"/>
    </row>
    <row r="16" spans="2:12" ht="18" customHeight="1" x14ac:dyDescent="0.25">
      <c r="F16" s="94" t="s">
        <v>9</v>
      </c>
      <c r="G16" s="94"/>
      <c r="H16" s="94"/>
      <c r="I16" s="94"/>
      <c r="J16" s="94"/>
      <c r="K16" s="94"/>
    </row>
  </sheetData>
  <mergeCells count="11">
    <mergeCell ref="F10:K10"/>
    <mergeCell ref="F2:K2"/>
    <mergeCell ref="F3:K3"/>
    <mergeCell ref="F5:K5"/>
    <mergeCell ref="F6:K6"/>
    <mergeCell ref="F8:K8"/>
    <mergeCell ref="F12:K12"/>
    <mergeCell ref="F13:K13"/>
    <mergeCell ref="F14:K14"/>
    <mergeCell ref="F15:K15"/>
    <mergeCell ref="F16:K16"/>
  </mergeCells>
  <pageMargins left="0.7" right="0.7" top="0.75" bottom="0.75" header="0.3" footer="0.3"/>
  <pageSetup paperSize="9" orientation="portrait" horizontalDpi="0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C9B7D4-DF9C-4993-B121-A42C655172BC}">
  <sheetPr codeName="Hoja2">
    <tabColor rgb="FF009999"/>
  </sheetPr>
  <dimension ref="D7:K19"/>
  <sheetViews>
    <sheetView workbookViewId="0">
      <selection activeCell="N6" sqref="N6"/>
    </sheetView>
  </sheetViews>
  <sheetFormatPr baseColWidth="10" defaultRowHeight="14.25" customHeight="1" x14ac:dyDescent="0.2"/>
  <cols>
    <col min="1" max="1" width="11.42578125" style="4"/>
    <col min="2" max="2" width="11.42578125" style="4" customWidth="1"/>
    <col min="3" max="16384" width="11.42578125" style="4"/>
  </cols>
  <sheetData>
    <row r="7" spans="4:11" ht="14.25" customHeight="1" x14ac:dyDescent="0.2">
      <c r="K7" s="7" t="s">
        <v>11</v>
      </c>
    </row>
    <row r="9" spans="4:11" ht="14.25" customHeight="1" x14ac:dyDescent="0.2">
      <c r="D9" s="96" t="s">
        <v>21</v>
      </c>
      <c r="E9" s="96"/>
      <c r="F9" s="96"/>
      <c r="G9" s="96"/>
      <c r="H9" s="96"/>
      <c r="I9" s="6"/>
    </row>
    <row r="10" spans="4:11" ht="14.25" customHeight="1" x14ac:dyDescent="0.2">
      <c r="D10" s="5" t="s">
        <v>16</v>
      </c>
      <c r="K10" s="7" t="s">
        <v>12</v>
      </c>
    </row>
    <row r="11" spans="4:11" ht="14.25" customHeight="1" x14ac:dyDescent="0.2">
      <c r="D11" s="5" t="s">
        <v>17</v>
      </c>
    </row>
    <row r="12" spans="4:11" ht="14.25" customHeight="1" x14ac:dyDescent="0.2">
      <c r="D12" s="5" t="s">
        <v>18</v>
      </c>
    </row>
    <row r="13" spans="4:11" ht="14.25" customHeight="1" x14ac:dyDescent="0.2">
      <c r="D13" s="5" t="s">
        <v>19</v>
      </c>
      <c r="K13" s="7" t="s">
        <v>15</v>
      </c>
    </row>
    <row r="14" spans="4:11" ht="14.25" customHeight="1" x14ac:dyDescent="0.2">
      <c r="D14" s="3" t="s">
        <v>20</v>
      </c>
    </row>
    <row r="16" spans="4:11" ht="14.25" customHeight="1" x14ac:dyDescent="0.2">
      <c r="K16" s="7" t="s">
        <v>13</v>
      </c>
    </row>
    <row r="19" spans="11:11" ht="14.25" customHeight="1" x14ac:dyDescent="0.2">
      <c r="K19" s="7" t="s">
        <v>14</v>
      </c>
    </row>
  </sheetData>
  <mergeCells count="1">
    <mergeCell ref="D9:H9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DAD2ED-C17A-4316-8339-463CD7C214EB}">
  <sheetPr codeName="Hoja3">
    <tabColor rgb="FF9933FF"/>
  </sheetPr>
  <dimension ref="A2:K23"/>
  <sheetViews>
    <sheetView topLeftCell="A4" workbookViewId="0">
      <selection activeCell="C7" sqref="C7"/>
    </sheetView>
  </sheetViews>
  <sheetFormatPr baseColWidth="10" defaultRowHeight="14.25" x14ac:dyDescent="0.2"/>
  <cols>
    <col min="1" max="1" width="11.42578125" style="9"/>
    <col min="2" max="2" width="19.7109375" style="9" customWidth="1"/>
    <col min="3" max="3" width="19.42578125" style="9" customWidth="1"/>
    <col min="4" max="4" width="13.5703125" style="9" customWidth="1"/>
    <col min="5" max="6" width="11.42578125" style="9"/>
    <col min="7" max="7" width="16.7109375" style="9" customWidth="1"/>
    <col min="8" max="8" width="16.5703125" style="9" customWidth="1"/>
    <col min="9" max="9" width="11.42578125" style="9"/>
    <col min="10" max="10" width="17" style="9" customWidth="1"/>
    <col min="11" max="11" width="15" style="9" customWidth="1"/>
    <col min="12" max="16384" width="11.42578125" style="9"/>
  </cols>
  <sheetData>
    <row r="2" spans="1:11" x14ac:dyDescent="0.2">
      <c r="G2" s="97" t="s">
        <v>22</v>
      </c>
      <c r="H2" s="97"/>
      <c r="I2" s="97"/>
      <c r="J2" s="97"/>
      <c r="K2" s="97"/>
    </row>
    <row r="3" spans="1:11" x14ac:dyDescent="0.2">
      <c r="G3" s="97"/>
      <c r="H3" s="97"/>
      <c r="I3" s="97"/>
      <c r="J3" s="97"/>
      <c r="K3" s="97"/>
    </row>
    <row r="4" spans="1:11" ht="15" x14ac:dyDescent="0.25">
      <c r="B4" s="13"/>
      <c r="C4" s="13"/>
      <c r="D4" s="13"/>
    </row>
    <row r="5" spans="1:11" ht="42.75" x14ac:dyDescent="0.3">
      <c r="B5" s="14"/>
      <c r="C5" s="14"/>
      <c r="D5" s="15" t="s">
        <v>23</v>
      </c>
      <c r="G5" s="98" t="s">
        <v>24</v>
      </c>
      <c r="H5" s="98"/>
      <c r="J5" s="99" t="s">
        <v>25</v>
      </c>
      <c r="K5" s="99"/>
    </row>
    <row r="6" spans="1:11" ht="16.5" x14ac:dyDescent="0.3">
      <c r="B6" s="29" t="s">
        <v>26</v>
      </c>
      <c r="C6" s="16">
        <v>50000</v>
      </c>
      <c r="D6" s="17">
        <v>0.03</v>
      </c>
      <c r="G6" s="28" t="s">
        <v>27</v>
      </c>
      <c r="H6" s="18">
        <v>90000</v>
      </c>
      <c r="J6" s="19" t="s">
        <v>28</v>
      </c>
      <c r="K6" s="20">
        <v>50000</v>
      </c>
    </row>
    <row r="7" spans="1:11" ht="28.5" x14ac:dyDescent="0.3">
      <c r="B7" s="30" t="s">
        <v>29</v>
      </c>
      <c r="C7" s="21">
        <v>10</v>
      </c>
      <c r="D7" s="40">
        <v>0.02</v>
      </c>
      <c r="G7" s="28" t="s">
        <v>30</v>
      </c>
      <c r="H7" s="18">
        <v>360000</v>
      </c>
      <c r="J7" s="19" t="s">
        <v>31</v>
      </c>
      <c r="K7" s="20">
        <v>50000</v>
      </c>
    </row>
    <row r="8" spans="1:11" ht="45" customHeight="1" x14ac:dyDescent="0.3">
      <c r="B8" s="29" t="s">
        <v>32</v>
      </c>
      <c r="C8" s="23">
        <v>3</v>
      </c>
      <c r="D8" s="17">
        <v>0.01</v>
      </c>
      <c r="G8" s="28" t="s">
        <v>33</v>
      </c>
      <c r="H8" s="18">
        <v>450000</v>
      </c>
      <c r="J8" s="19"/>
      <c r="K8" s="20"/>
    </row>
    <row r="9" spans="1:11" ht="35.25" customHeight="1" x14ac:dyDescent="0.3">
      <c r="B9" s="31" t="s">
        <v>34</v>
      </c>
      <c r="C9" s="24">
        <v>2</v>
      </c>
      <c r="D9" s="22">
        <v>0.01</v>
      </c>
      <c r="G9" s="28"/>
      <c r="H9" s="18"/>
      <c r="J9" s="19" t="s">
        <v>35</v>
      </c>
      <c r="K9" s="20"/>
    </row>
    <row r="10" spans="1:11" ht="16.5" x14ac:dyDescent="0.3">
      <c r="B10" s="29" t="s">
        <v>36</v>
      </c>
      <c r="C10" s="23">
        <v>10000</v>
      </c>
      <c r="D10" s="17"/>
      <c r="G10" s="28" t="s">
        <v>37</v>
      </c>
      <c r="H10" s="18">
        <v>100000</v>
      </c>
      <c r="J10" s="19" t="s">
        <v>38</v>
      </c>
      <c r="K10" s="20">
        <v>500000</v>
      </c>
    </row>
    <row r="11" spans="1:11" ht="42.75" x14ac:dyDescent="0.3">
      <c r="B11" s="30" t="s">
        <v>39</v>
      </c>
      <c r="C11" s="25">
        <v>5</v>
      </c>
      <c r="D11" s="22"/>
      <c r="G11" s="28" t="s">
        <v>40</v>
      </c>
      <c r="H11" s="18">
        <v>0</v>
      </c>
      <c r="J11" s="19" t="s">
        <v>41</v>
      </c>
      <c r="K11" s="20">
        <v>0</v>
      </c>
    </row>
    <row r="12" spans="1:11" ht="28.5" x14ac:dyDescent="0.3">
      <c r="B12" s="32" t="s">
        <v>42</v>
      </c>
      <c r="C12" s="26">
        <v>50000</v>
      </c>
      <c r="D12" s="27">
        <v>0.02</v>
      </c>
      <c r="G12" s="28" t="s">
        <v>43</v>
      </c>
      <c r="H12" s="18">
        <v>100000</v>
      </c>
      <c r="J12" s="19" t="s">
        <v>44</v>
      </c>
      <c r="K12" s="20"/>
    </row>
    <row r="13" spans="1:11" ht="28.5" x14ac:dyDescent="0.3">
      <c r="G13" s="28" t="s">
        <v>45</v>
      </c>
      <c r="H13" s="18">
        <v>550000</v>
      </c>
      <c r="J13" s="19" t="s">
        <v>46</v>
      </c>
      <c r="K13" s="20">
        <v>550000</v>
      </c>
    </row>
    <row r="16" spans="1:11" ht="27.75" customHeight="1" x14ac:dyDescent="0.3">
      <c r="A16" s="14"/>
      <c r="B16" s="100" t="s">
        <v>47</v>
      </c>
      <c r="C16" s="100"/>
      <c r="D16" s="101" t="s">
        <v>48</v>
      </c>
      <c r="E16" s="14"/>
    </row>
    <row r="17" spans="1:5" ht="16.5" x14ac:dyDescent="0.3">
      <c r="A17" s="14"/>
      <c r="B17" s="37" t="s">
        <v>49</v>
      </c>
      <c r="C17" s="37" t="s">
        <v>50</v>
      </c>
      <c r="D17" s="101"/>
      <c r="E17" s="14"/>
    </row>
    <row r="18" spans="1:5" ht="16.5" x14ac:dyDescent="0.3">
      <c r="A18" s="14"/>
      <c r="B18" s="33">
        <v>0</v>
      </c>
      <c r="C18" s="33">
        <v>999</v>
      </c>
      <c r="D18" s="34">
        <v>0.1</v>
      </c>
      <c r="E18" s="14"/>
    </row>
    <row r="19" spans="1:5" ht="16.5" x14ac:dyDescent="0.3">
      <c r="A19" s="14"/>
      <c r="B19" s="35">
        <v>1000</v>
      </c>
      <c r="C19" s="35">
        <v>9999</v>
      </c>
      <c r="D19" s="36">
        <v>0.15</v>
      </c>
      <c r="E19" s="14"/>
    </row>
    <row r="20" spans="1:5" ht="16.5" x14ac:dyDescent="0.3">
      <c r="A20" s="14"/>
      <c r="B20" s="33">
        <v>10000</v>
      </c>
      <c r="C20" s="33">
        <v>49999</v>
      </c>
      <c r="D20" s="34">
        <v>0.2</v>
      </c>
      <c r="E20" s="14"/>
    </row>
    <row r="21" spans="1:5" ht="16.5" x14ac:dyDescent="0.3">
      <c r="A21" s="14"/>
      <c r="B21" s="35">
        <v>50000</v>
      </c>
      <c r="C21" s="35">
        <v>99999</v>
      </c>
      <c r="D21" s="36">
        <v>0.25</v>
      </c>
      <c r="E21" s="14"/>
    </row>
    <row r="22" spans="1:5" ht="16.5" x14ac:dyDescent="0.3">
      <c r="A22" s="14"/>
      <c r="B22" s="33">
        <v>100000</v>
      </c>
      <c r="C22" s="33">
        <v>499999</v>
      </c>
      <c r="D22" s="34">
        <v>0.3</v>
      </c>
      <c r="E22" s="14"/>
    </row>
    <row r="23" spans="1:5" ht="16.5" x14ac:dyDescent="0.3">
      <c r="A23" s="14"/>
      <c r="B23" s="35">
        <v>500000</v>
      </c>
      <c r="C23" s="35">
        <v>0</v>
      </c>
      <c r="D23" s="36">
        <v>0.35</v>
      </c>
      <c r="E23" s="14"/>
    </row>
  </sheetData>
  <mergeCells count="5">
    <mergeCell ref="G2:K3"/>
    <mergeCell ref="G5:H5"/>
    <mergeCell ref="J5:K5"/>
    <mergeCell ref="B16:C16"/>
    <mergeCell ref="D16:D17"/>
  </mergeCells>
  <pageMargins left="0.7" right="0.7" top="0.75" bottom="0.75" header="0.3" footer="0.3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B75352-0136-4A23-8F63-339B378A1997}">
  <sheetPr codeName="Hoja4">
    <tabColor rgb="FFFF33CC"/>
  </sheetPr>
  <dimension ref="A1:AS124"/>
  <sheetViews>
    <sheetView topLeftCell="B1" workbookViewId="0">
      <selection activeCell="D16" sqref="D16"/>
    </sheetView>
  </sheetViews>
  <sheetFormatPr baseColWidth="10" defaultRowHeight="14.25" x14ac:dyDescent="0.2"/>
  <cols>
    <col min="1" max="2" width="11.42578125" style="10"/>
    <col min="3" max="3" width="35.42578125" style="10" customWidth="1"/>
    <col min="4" max="5" width="13.85546875" style="10" bestFit="1" customWidth="1"/>
    <col min="6" max="6" width="15.5703125" style="10" bestFit="1" customWidth="1"/>
    <col min="7" max="9" width="13.85546875" style="10" bestFit="1" customWidth="1"/>
    <col min="10" max="16384" width="11.42578125" style="10"/>
  </cols>
  <sheetData>
    <row r="1" spans="1:45" ht="15" x14ac:dyDescent="0.25">
      <c r="A1" s="38"/>
      <c r="B1" s="38"/>
      <c r="C1" s="38"/>
      <c r="D1" s="38"/>
      <c r="E1" s="38"/>
      <c r="F1" s="38"/>
      <c r="G1" s="38"/>
      <c r="H1" s="38"/>
      <c r="I1" s="38"/>
      <c r="J1" s="38"/>
      <c r="K1" s="38"/>
      <c r="L1" s="38"/>
      <c r="M1" s="38"/>
      <c r="N1" s="38"/>
      <c r="O1" s="38"/>
      <c r="P1" s="38"/>
      <c r="Q1" s="38"/>
      <c r="R1" s="38"/>
      <c r="S1" s="38"/>
      <c r="T1" s="38"/>
      <c r="U1" s="38"/>
      <c r="V1" s="38"/>
      <c r="W1" s="38"/>
      <c r="X1" s="38"/>
      <c r="Y1" s="38"/>
      <c r="Z1" s="38"/>
      <c r="AA1" s="38"/>
      <c r="AB1" s="38"/>
      <c r="AC1" s="38"/>
      <c r="AD1" s="38"/>
      <c r="AE1" s="38"/>
      <c r="AF1" s="38"/>
      <c r="AG1" s="38"/>
      <c r="AH1" s="38"/>
      <c r="AI1" s="38"/>
      <c r="AJ1" s="38"/>
      <c r="AK1" s="38"/>
      <c r="AL1" s="38"/>
      <c r="AM1" s="38"/>
      <c r="AN1" s="38"/>
      <c r="AO1" s="38"/>
      <c r="AP1" s="38"/>
      <c r="AQ1" s="38"/>
      <c r="AR1" s="38"/>
      <c r="AS1" s="38"/>
    </row>
    <row r="2" spans="1:45" ht="15" x14ac:dyDescent="0.25">
      <c r="A2" s="38"/>
      <c r="B2" s="102" t="s">
        <v>51</v>
      </c>
      <c r="C2" s="102"/>
      <c r="D2" s="102"/>
      <c r="E2" s="102"/>
      <c r="F2" s="102"/>
      <c r="G2" s="102"/>
      <c r="H2" s="102"/>
      <c r="I2" s="102"/>
      <c r="J2" s="38"/>
      <c r="K2" s="38"/>
      <c r="L2" s="38"/>
      <c r="M2" s="38"/>
      <c r="N2" s="38"/>
      <c r="O2" s="38"/>
      <c r="P2" s="38"/>
      <c r="Q2" s="38"/>
      <c r="R2" s="38"/>
      <c r="S2" s="38"/>
      <c r="T2" s="38"/>
      <c r="U2" s="38"/>
      <c r="V2" s="38"/>
      <c r="W2" s="38"/>
      <c r="X2" s="38"/>
      <c r="Y2" s="38"/>
      <c r="Z2" s="38"/>
      <c r="AA2" s="38"/>
      <c r="AB2" s="38"/>
      <c r="AC2" s="38"/>
      <c r="AD2" s="38"/>
      <c r="AE2" s="38"/>
      <c r="AF2" s="38"/>
      <c r="AG2" s="38"/>
      <c r="AH2" s="38"/>
      <c r="AI2" s="38"/>
      <c r="AJ2" s="38"/>
      <c r="AK2" s="38"/>
      <c r="AL2" s="38"/>
      <c r="AM2" s="38"/>
      <c r="AN2" s="38"/>
      <c r="AO2" s="38"/>
      <c r="AP2" s="38"/>
      <c r="AQ2" s="38"/>
      <c r="AR2" s="38"/>
      <c r="AS2" s="38"/>
    </row>
    <row r="3" spans="1:45" ht="15" x14ac:dyDescent="0.25">
      <c r="A3" s="38"/>
      <c r="B3" s="102"/>
      <c r="C3" s="102"/>
      <c r="D3" s="102"/>
      <c r="E3" s="102"/>
      <c r="F3" s="102"/>
      <c r="G3" s="102"/>
      <c r="H3" s="102"/>
      <c r="I3" s="102"/>
      <c r="J3" s="38"/>
      <c r="K3" s="38"/>
      <c r="L3" s="38"/>
      <c r="M3" s="38"/>
      <c r="N3" s="38"/>
      <c r="O3" s="38"/>
      <c r="P3" s="38"/>
      <c r="Q3" s="38"/>
      <c r="R3" s="38"/>
      <c r="S3" s="38"/>
      <c r="T3" s="38"/>
      <c r="U3" s="38"/>
      <c r="V3" s="38"/>
      <c r="W3" s="38"/>
      <c r="X3" s="38"/>
      <c r="Y3" s="38"/>
      <c r="Z3" s="38"/>
      <c r="AA3" s="38"/>
      <c r="AB3" s="38"/>
      <c r="AC3" s="38"/>
      <c r="AD3" s="38"/>
      <c r="AE3" s="38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8"/>
    </row>
    <row r="4" spans="1:45" ht="15" x14ac:dyDescent="0.25">
      <c r="A4" s="38"/>
      <c r="B4" s="38"/>
      <c r="C4" s="38"/>
      <c r="D4" s="38"/>
      <c r="E4" s="38"/>
      <c r="F4" s="38"/>
      <c r="G4" s="38"/>
      <c r="H4" s="38"/>
      <c r="I4" s="38"/>
      <c r="J4" s="38"/>
      <c r="K4" s="38"/>
      <c r="L4" s="38"/>
      <c r="M4" s="38"/>
      <c r="N4" s="38"/>
      <c r="O4" s="38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C4" s="38"/>
      <c r="AD4" s="38"/>
      <c r="AE4" s="38"/>
      <c r="AF4" s="38"/>
      <c r="AG4" s="38"/>
      <c r="AH4" s="38"/>
      <c r="AI4" s="38"/>
      <c r="AJ4" s="38"/>
      <c r="AK4" s="38"/>
      <c r="AL4" s="38"/>
      <c r="AM4" s="38"/>
      <c r="AN4" s="38"/>
      <c r="AO4" s="38"/>
      <c r="AP4" s="38"/>
      <c r="AQ4" s="38"/>
      <c r="AR4" s="38"/>
      <c r="AS4" s="38"/>
    </row>
    <row r="5" spans="1:45" ht="15" x14ac:dyDescent="0.25">
      <c r="A5" s="38"/>
      <c r="B5" s="38"/>
      <c r="C5" s="38"/>
      <c r="D5" s="38"/>
      <c r="E5" s="38"/>
      <c r="F5" s="38"/>
      <c r="G5" s="38"/>
      <c r="H5" s="38"/>
      <c r="I5" s="38"/>
      <c r="J5" s="38"/>
      <c r="K5" s="38"/>
      <c r="L5" s="38"/>
      <c r="M5" s="38"/>
      <c r="N5" s="38"/>
      <c r="O5" s="38"/>
      <c r="P5" s="38"/>
      <c r="Q5" s="38"/>
      <c r="R5" s="38"/>
      <c r="S5" s="38"/>
      <c r="T5" s="38"/>
      <c r="U5" s="38"/>
      <c r="V5" s="38"/>
      <c r="W5" s="38"/>
      <c r="X5" s="38"/>
      <c r="Y5" s="38"/>
      <c r="Z5" s="38"/>
      <c r="AA5" s="38"/>
      <c r="AB5" s="38"/>
      <c r="AC5" s="38"/>
      <c r="AD5" s="38"/>
      <c r="AE5" s="38"/>
      <c r="AF5" s="38"/>
      <c r="AG5" s="38"/>
      <c r="AH5" s="38"/>
      <c r="AI5" s="38"/>
      <c r="AJ5" s="38"/>
      <c r="AK5" s="38"/>
      <c r="AL5" s="38"/>
      <c r="AM5" s="38"/>
      <c r="AN5" s="38"/>
      <c r="AO5" s="38"/>
      <c r="AP5" s="38"/>
      <c r="AQ5" s="38"/>
      <c r="AR5" s="38"/>
      <c r="AS5" s="38"/>
    </row>
    <row r="6" spans="1:45" ht="15" x14ac:dyDescent="0.25">
      <c r="A6" s="38"/>
      <c r="B6" s="38"/>
      <c r="C6" s="64" t="s">
        <v>52</v>
      </c>
      <c r="D6" s="67">
        <v>1</v>
      </c>
      <c r="E6" s="67">
        <v>2</v>
      </c>
      <c r="F6" s="67">
        <v>3</v>
      </c>
      <c r="G6" s="67">
        <v>4</v>
      </c>
      <c r="H6" s="67">
        <v>5</v>
      </c>
      <c r="I6" s="67">
        <v>6</v>
      </c>
      <c r="J6" s="38"/>
      <c r="K6" s="38"/>
      <c r="L6" s="38"/>
      <c r="M6" s="38"/>
      <c r="N6" s="38"/>
      <c r="O6" s="38"/>
      <c r="P6" s="38"/>
      <c r="Q6" s="38"/>
      <c r="R6" s="38"/>
      <c r="S6" s="38"/>
      <c r="T6" s="38"/>
      <c r="U6" s="38"/>
      <c r="V6" s="38"/>
      <c r="W6" s="38"/>
      <c r="X6" s="38"/>
      <c r="Y6" s="38"/>
      <c r="Z6" s="38"/>
      <c r="AA6" s="38"/>
      <c r="AB6" s="38"/>
      <c r="AC6" s="38"/>
      <c r="AD6" s="38"/>
      <c r="AE6" s="38"/>
      <c r="AF6" s="38"/>
      <c r="AG6" s="38"/>
      <c r="AH6" s="38"/>
      <c r="AI6" s="38"/>
      <c r="AJ6" s="38"/>
      <c r="AK6" s="38"/>
      <c r="AL6" s="38"/>
      <c r="AM6" s="38"/>
      <c r="AN6" s="38"/>
      <c r="AO6" s="38"/>
      <c r="AP6" s="38"/>
      <c r="AQ6" s="38"/>
      <c r="AR6" s="38"/>
      <c r="AS6" s="38"/>
    </row>
    <row r="7" spans="1:45" ht="16.5" x14ac:dyDescent="0.25">
      <c r="A7" s="38"/>
      <c r="B7" s="38"/>
      <c r="C7" s="65" t="s">
        <v>53</v>
      </c>
      <c r="D7" s="68">
        <f>Calculos!D15</f>
        <v>500000</v>
      </c>
      <c r="E7" s="68">
        <f>Calculos!E15</f>
        <v>525300</v>
      </c>
      <c r="F7" s="68">
        <f>Calculos!F15</f>
        <v>551880.18000000005</v>
      </c>
      <c r="G7" s="68">
        <f>Calculos!G15</f>
        <v>579805.31710800005</v>
      </c>
      <c r="H7" s="68">
        <f>Calculos!H15</f>
        <v>609143.46615366486</v>
      </c>
      <c r="I7" s="68">
        <f>Calculos!I15</f>
        <v>639966.12554104021</v>
      </c>
      <c r="J7" s="38"/>
      <c r="K7" s="38"/>
      <c r="L7" s="38"/>
      <c r="M7" s="38"/>
      <c r="N7" s="38"/>
      <c r="O7" s="38"/>
      <c r="P7" s="38"/>
      <c r="Q7" s="38"/>
      <c r="R7" s="38"/>
      <c r="S7" s="38"/>
      <c r="T7" s="38"/>
      <c r="U7" s="38"/>
      <c r="V7" s="38"/>
      <c r="W7" s="38"/>
      <c r="X7" s="38"/>
      <c r="Y7" s="38"/>
      <c r="Z7" s="38"/>
      <c r="AA7" s="38"/>
      <c r="AB7" s="38"/>
      <c r="AC7" s="38"/>
      <c r="AD7" s="38"/>
      <c r="AE7" s="38"/>
      <c r="AF7" s="38"/>
      <c r="AG7" s="38"/>
      <c r="AH7" s="38"/>
      <c r="AI7" s="38"/>
      <c r="AJ7" s="38"/>
      <c r="AK7" s="38"/>
      <c r="AL7" s="38"/>
      <c r="AM7" s="38"/>
      <c r="AN7" s="38"/>
      <c r="AO7" s="38"/>
      <c r="AP7" s="38"/>
      <c r="AQ7" s="38"/>
      <c r="AR7" s="38"/>
      <c r="AS7" s="38"/>
    </row>
    <row r="8" spans="1:45" ht="16.5" x14ac:dyDescent="0.25">
      <c r="A8" s="38"/>
      <c r="B8" s="38"/>
      <c r="C8" s="65" t="s">
        <v>54</v>
      </c>
      <c r="D8" s="68">
        <f>D7*0.16/1.16</f>
        <v>68965.517241379319</v>
      </c>
      <c r="E8" s="68">
        <f t="shared" ref="E8:I8" si="0">E7*0.16/1.16</f>
        <v>72455.172413793101</v>
      </c>
      <c r="F8" s="68">
        <f t="shared" si="0"/>
        <v>76121.404137931037</v>
      </c>
      <c r="G8" s="68">
        <f t="shared" si="0"/>
        <v>79973.147187310358</v>
      </c>
      <c r="H8" s="68">
        <f t="shared" si="0"/>
        <v>84019.788434988266</v>
      </c>
      <c r="I8" s="68">
        <f t="shared" si="0"/>
        <v>88271.189729798658</v>
      </c>
      <c r="J8" s="38"/>
      <c r="K8" s="38"/>
      <c r="L8" s="38"/>
      <c r="M8" s="38"/>
      <c r="N8" s="38"/>
      <c r="O8" s="38"/>
      <c r="P8" s="38"/>
      <c r="Q8" s="38"/>
      <c r="R8" s="38"/>
      <c r="S8" s="38"/>
      <c r="T8" s="38"/>
      <c r="U8" s="38"/>
      <c r="V8" s="38"/>
      <c r="W8" s="38"/>
      <c r="X8" s="38"/>
      <c r="Y8" s="38"/>
      <c r="Z8" s="38"/>
      <c r="AA8" s="38"/>
      <c r="AB8" s="38"/>
      <c r="AC8" s="38"/>
      <c r="AD8" s="38"/>
      <c r="AE8" s="38"/>
      <c r="AF8" s="38"/>
      <c r="AG8" s="38"/>
      <c r="AH8" s="38"/>
      <c r="AI8" s="38"/>
      <c r="AJ8" s="38"/>
      <c r="AK8" s="38"/>
      <c r="AL8" s="38"/>
      <c r="AM8" s="38"/>
      <c r="AN8" s="38"/>
      <c r="AO8" s="38"/>
      <c r="AP8" s="38"/>
      <c r="AQ8" s="38"/>
      <c r="AR8" s="38"/>
      <c r="AS8" s="38"/>
    </row>
    <row r="9" spans="1:45" ht="16.5" x14ac:dyDescent="0.25">
      <c r="A9" s="38"/>
      <c r="B9" s="38"/>
      <c r="C9" s="65" t="s">
        <v>55</v>
      </c>
      <c r="D9" s="68">
        <f>D7-D8</f>
        <v>431034.4827586207</v>
      </c>
      <c r="E9" s="68">
        <f t="shared" ref="E9:I9" si="1">E7-E8</f>
        <v>452844.8275862069</v>
      </c>
      <c r="F9" s="68">
        <f t="shared" si="1"/>
        <v>475758.77586206899</v>
      </c>
      <c r="G9" s="68">
        <f t="shared" si="1"/>
        <v>499832.16992068966</v>
      </c>
      <c r="H9" s="68">
        <f t="shared" si="1"/>
        <v>525123.67771867663</v>
      </c>
      <c r="I9" s="68">
        <f t="shared" si="1"/>
        <v>551694.93581124151</v>
      </c>
      <c r="J9" s="38"/>
      <c r="K9" s="38"/>
      <c r="L9" s="38"/>
      <c r="M9" s="38"/>
      <c r="N9" s="38"/>
      <c r="O9" s="38"/>
      <c r="P9" s="38"/>
      <c r="Q9" s="38"/>
      <c r="R9" s="38"/>
      <c r="S9" s="38"/>
      <c r="T9" s="38"/>
      <c r="U9" s="38"/>
      <c r="V9" s="38"/>
      <c r="W9" s="38"/>
      <c r="X9" s="38"/>
      <c r="Y9" s="38"/>
      <c r="Z9" s="38"/>
      <c r="AA9" s="38"/>
      <c r="AB9" s="38"/>
      <c r="AC9" s="38"/>
      <c r="AD9" s="38"/>
      <c r="AE9" s="38"/>
      <c r="AF9" s="38"/>
      <c r="AG9" s="38"/>
      <c r="AH9" s="38"/>
      <c r="AI9" s="38"/>
      <c r="AJ9" s="38"/>
      <c r="AK9" s="38"/>
      <c r="AL9" s="38"/>
      <c r="AM9" s="38"/>
      <c r="AN9" s="38"/>
      <c r="AO9" s="38"/>
      <c r="AP9" s="38"/>
      <c r="AQ9" s="38"/>
      <c r="AR9" s="38"/>
      <c r="AS9" s="38"/>
    </row>
    <row r="10" spans="1:45" ht="16.5" x14ac:dyDescent="0.25">
      <c r="A10" s="38"/>
      <c r="B10" s="38"/>
      <c r="C10" s="65" t="s">
        <v>56</v>
      </c>
      <c r="D10" s="68">
        <f>Calculos!D25</f>
        <v>150000</v>
      </c>
      <c r="E10" s="68">
        <f>Calculos!E25</f>
        <v>156045</v>
      </c>
      <c r="F10" s="68">
        <f>Calculos!F25</f>
        <v>162333.61349999998</v>
      </c>
      <c r="G10" s="68">
        <f>Calculos!G25</f>
        <v>168875.65812404998</v>
      </c>
      <c r="H10" s="68">
        <f>Calculos!H25</f>
        <v>175681.3471464492</v>
      </c>
      <c r="I10" s="68">
        <f>Calculos!I25</f>
        <v>182761.3054364511</v>
      </c>
      <c r="J10" s="38"/>
      <c r="K10" s="38"/>
      <c r="L10" s="38"/>
      <c r="M10" s="38"/>
      <c r="N10" s="38"/>
      <c r="O10" s="38"/>
      <c r="P10" s="38"/>
      <c r="Q10" s="38"/>
      <c r="R10" s="38"/>
      <c r="S10" s="38"/>
      <c r="T10" s="38"/>
      <c r="U10" s="38"/>
      <c r="V10" s="38"/>
      <c r="W10" s="38"/>
      <c r="X10" s="38"/>
      <c r="Y10" s="38"/>
      <c r="Z10" s="38"/>
      <c r="AA10" s="38"/>
      <c r="AB10" s="38"/>
      <c r="AC10" s="38"/>
      <c r="AD10" s="38"/>
      <c r="AE10" s="38"/>
      <c r="AF10" s="38"/>
      <c r="AG10" s="38"/>
      <c r="AH10" s="38"/>
      <c r="AI10" s="38"/>
      <c r="AJ10" s="38"/>
      <c r="AK10" s="38"/>
      <c r="AL10" s="38"/>
      <c r="AM10" s="38"/>
      <c r="AN10" s="38"/>
      <c r="AO10" s="38"/>
      <c r="AP10" s="38"/>
      <c r="AQ10" s="38"/>
      <c r="AR10" s="38"/>
      <c r="AS10" s="38"/>
    </row>
    <row r="11" spans="1:45" ht="16.5" x14ac:dyDescent="0.25">
      <c r="A11" s="38"/>
      <c r="B11" s="38"/>
      <c r="C11" s="65" t="s">
        <v>40</v>
      </c>
      <c r="D11" s="68">
        <v>1500</v>
      </c>
      <c r="E11" s="68">
        <v>1500</v>
      </c>
      <c r="F11" s="68">
        <v>1500</v>
      </c>
      <c r="G11" s="68">
        <v>1500</v>
      </c>
      <c r="H11" s="68">
        <v>1500</v>
      </c>
      <c r="I11" s="68">
        <v>1500</v>
      </c>
      <c r="J11" s="38"/>
      <c r="K11" s="38"/>
      <c r="L11" s="38"/>
      <c r="M11" s="38"/>
      <c r="N11" s="38"/>
      <c r="O11" s="38"/>
      <c r="P11" s="38"/>
      <c r="Q11" s="38"/>
      <c r="R11" s="38"/>
      <c r="S11" s="38"/>
      <c r="T11" s="38"/>
      <c r="U11" s="38"/>
      <c r="V11" s="38"/>
      <c r="W11" s="38"/>
      <c r="X11" s="38"/>
      <c r="Y11" s="38"/>
      <c r="Z11" s="38"/>
      <c r="AA11" s="38"/>
      <c r="AB11" s="38"/>
      <c r="AC11" s="38"/>
      <c r="AD11" s="38"/>
      <c r="AE11" s="38"/>
      <c r="AF11" s="38"/>
      <c r="AG11" s="38"/>
      <c r="AH11" s="38"/>
      <c r="AI11" s="38"/>
      <c r="AJ11" s="38"/>
      <c r="AK11" s="38"/>
      <c r="AL11" s="38"/>
      <c r="AM11" s="38"/>
      <c r="AN11" s="38"/>
      <c r="AO11" s="38"/>
      <c r="AP11" s="38"/>
      <c r="AQ11" s="38"/>
      <c r="AR11" s="38"/>
      <c r="AS11" s="38"/>
    </row>
    <row r="12" spans="1:45" ht="16.5" x14ac:dyDescent="0.25">
      <c r="A12" s="38"/>
      <c r="B12" s="38"/>
      <c r="C12" s="65" t="s">
        <v>57</v>
      </c>
      <c r="D12" s="68">
        <f>D9-D10-D11</f>
        <v>279534.4827586207</v>
      </c>
      <c r="E12" s="68">
        <f t="shared" ref="E12:I12" si="2">E9-E10-E11</f>
        <v>295299.8275862069</v>
      </c>
      <c r="F12" s="68">
        <f t="shared" si="2"/>
        <v>311925.16236206901</v>
      </c>
      <c r="G12" s="68">
        <f t="shared" si="2"/>
        <v>329456.51179663965</v>
      </c>
      <c r="H12" s="68">
        <f t="shared" si="2"/>
        <v>347942.33057222742</v>
      </c>
      <c r="I12" s="68">
        <f t="shared" si="2"/>
        <v>367433.6303747904</v>
      </c>
      <c r="J12" s="38"/>
      <c r="K12" s="38"/>
      <c r="L12" s="38"/>
      <c r="M12" s="38"/>
      <c r="N12" s="38"/>
      <c r="O12" s="38"/>
      <c r="P12" s="38"/>
      <c r="Q12" s="38"/>
      <c r="R12" s="38"/>
      <c r="S12" s="38"/>
      <c r="T12" s="38"/>
      <c r="U12" s="38"/>
      <c r="V12" s="38"/>
      <c r="W12" s="38"/>
      <c r="X12" s="38"/>
      <c r="Y12" s="38"/>
      <c r="Z12" s="38"/>
      <c r="AA12" s="38"/>
      <c r="AB12" s="38"/>
      <c r="AC12" s="38"/>
      <c r="AD12" s="38"/>
      <c r="AE12" s="38"/>
      <c r="AF12" s="38"/>
      <c r="AG12" s="38"/>
      <c r="AH12" s="38"/>
      <c r="AI12" s="38"/>
      <c r="AJ12" s="38"/>
      <c r="AK12" s="38"/>
      <c r="AL12" s="38"/>
      <c r="AM12" s="38"/>
      <c r="AN12" s="38"/>
      <c r="AO12" s="38"/>
      <c r="AP12" s="38"/>
      <c r="AQ12" s="38"/>
      <c r="AR12" s="38"/>
      <c r="AS12" s="38"/>
    </row>
    <row r="13" spans="1:45" ht="16.5" x14ac:dyDescent="0.25">
      <c r="A13" s="38"/>
      <c r="B13" s="38"/>
      <c r="C13" s="65" t="s">
        <v>58</v>
      </c>
      <c r="D13" s="68">
        <f>Calculos!D31*Calculos!D8</f>
        <v>150000</v>
      </c>
      <c r="E13" s="68">
        <f>Calculos!E31*Calculos!E8</f>
        <v>156045</v>
      </c>
      <c r="F13" s="68">
        <f>Calculos!F31*Calculos!F8</f>
        <v>162333.61349999998</v>
      </c>
      <c r="G13" s="68">
        <f>Calculos!G31*Calculos!G8</f>
        <v>168875.65812404998</v>
      </c>
      <c r="H13" s="68">
        <f>Calculos!H31*Calculos!H8</f>
        <v>175681.3471464492</v>
      </c>
      <c r="I13" s="68">
        <f>Calculos!I31*Calculos!I8</f>
        <v>182761.3054364511</v>
      </c>
      <c r="J13" s="38"/>
      <c r="K13" s="38"/>
      <c r="L13" s="38"/>
      <c r="M13" s="38"/>
      <c r="N13" s="38"/>
      <c r="O13" s="38"/>
      <c r="P13" s="38"/>
      <c r="Q13" s="38"/>
      <c r="R13" s="38"/>
      <c r="S13" s="38"/>
      <c r="T13" s="38"/>
      <c r="U13" s="38"/>
      <c r="V13" s="38"/>
      <c r="W13" s="38"/>
      <c r="X13" s="38"/>
      <c r="Y13" s="38"/>
      <c r="Z13" s="38"/>
      <c r="AA13" s="38"/>
      <c r="AB13" s="38"/>
      <c r="AC13" s="38"/>
      <c r="AD13" s="38"/>
      <c r="AE13" s="38"/>
      <c r="AF13" s="38"/>
      <c r="AG13" s="38"/>
      <c r="AH13" s="38"/>
      <c r="AI13" s="38"/>
      <c r="AJ13" s="38"/>
      <c r="AK13" s="38"/>
      <c r="AL13" s="38"/>
      <c r="AM13" s="38"/>
      <c r="AN13" s="38"/>
      <c r="AO13" s="38"/>
      <c r="AP13" s="38"/>
      <c r="AQ13" s="38"/>
      <c r="AR13" s="38"/>
      <c r="AS13" s="38"/>
    </row>
    <row r="14" spans="1:45" ht="16.5" x14ac:dyDescent="0.25">
      <c r="A14" s="38"/>
      <c r="B14" s="38"/>
      <c r="C14" s="65" t="s">
        <v>59</v>
      </c>
      <c r="D14" s="68">
        <f>Calculos!D30*Calculos!D8</f>
        <v>100000</v>
      </c>
      <c r="E14" s="68">
        <f>Calculos!E30*Calculos!E8</f>
        <v>104030</v>
      </c>
      <c r="F14" s="68">
        <f>Calculos!F8*Calculos!F30</f>
        <v>108222.409</v>
      </c>
      <c r="G14" s="68">
        <f>Calculos!G8*Calculos!G30</f>
        <v>112583.77208269999</v>
      </c>
      <c r="H14" s="68">
        <f>Calculos!H8*Calculos!H30</f>
        <v>117120.89809763279</v>
      </c>
      <c r="I14" s="68">
        <f>Calculos!I8*Calculos!I30</f>
        <v>121840.87029096737</v>
      </c>
      <c r="J14" s="38"/>
      <c r="K14" s="38"/>
      <c r="L14" s="38"/>
      <c r="M14" s="38"/>
      <c r="N14" s="38"/>
      <c r="O14" s="38"/>
      <c r="P14" s="38"/>
      <c r="Q14" s="38"/>
      <c r="R14" s="38"/>
      <c r="S14" s="38"/>
      <c r="T14" s="38"/>
      <c r="U14" s="38"/>
      <c r="V14" s="38"/>
      <c r="W14" s="38"/>
      <c r="X14" s="38"/>
      <c r="Y14" s="38"/>
      <c r="Z14" s="38"/>
      <c r="AA14" s="38"/>
      <c r="AB14" s="38"/>
      <c r="AC14" s="38"/>
      <c r="AD14" s="38"/>
      <c r="AE14" s="38"/>
      <c r="AF14" s="38"/>
      <c r="AG14" s="38"/>
      <c r="AH14" s="38"/>
      <c r="AI14" s="38"/>
      <c r="AJ14" s="38"/>
      <c r="AK14" s="38"/>
      <c r="AL14" s="38"/>
      <c r="AM14" s="38"/>
      <c r="AN14" s="38"/>
      <c r="AO14" s="38"/>
      <c r="AP14" s="38"/>
      <c r="AQ14" s="38"/>
      <c r="AR14" s="38"/>
      <c r="AS14" s="38"/>
    </row>
    <row r="15" spans="1:45" ht="16.5" x14ac:dyDescent="0.25">
      <c r="A15" s="38"/>
      <c r="B15" s="38"/>
      <c r="C15" s="65" t="s">
        <v>77</v>
      </c>
      <c r="D15" s="68">
        <f>D12-D13-D14</f>
        <v>29534.482758620696</v>
      </c>
      <c r="E15" s="68">
        <f t="shared" ref="E15:I15" si="3">E12-E13-E14</f>
        <v>35224.827586206899</v>
      </c>
      <c r="F15" s="68">
        <f t="shared" si="3"/>
        <v>41369.139862069031</v>
      </c>
      <c r="G15" s="68">
        <f t="shared" si="3"/>
        <v>47997.081589889684</v>
      </c>
      <c r="H15" s="68">
        <f t="shared" si="3"/>
        <v>55140.085328145433</v>
      </c>
      <c r="I15" s="68">
        <f t="shared" si="3"/>
        <v>62831.454647371924</v>
      </c>
      <c r="J15" s="38"/>
      <c r="K15" s="38"/>
      <c r="L15" s="38"/>
      <c r="M15" s="38"/>
      <c r="N15" s="38"/>
      <c r="O15" s="38"/>
      <c r="P15" s="38"/>
      <c r="Q15" s="38"/>
      <c r="R15" s="38"/>
      <c r="S15" s="38"/>
      <c r="T15" s="38"/>
      <c r="U15" s="38"/>
      <c r="V15" s="38"/>
      <c r="W15" s="38"/>
      <c r="X15" s="38"/>
      <c r="Y15" s="38"/>
      <c r="Z15" s="38"/>
      <c r="AA15" s="38"/>
      <c r="AB15" s="38"/>
      <c r="AC15" s="38"/>
      <c r="AD15" s="38"/>
      <c r="AE15" s="38"/>
      <c r="AF15" s="38"/>
      <c r="AG15" s="38"/>
      <c r="AH15" s="38"/>
      <c r="AI15" s="38"/>
      <c r="AJ15" s="38"/>
      <c r="AK15" s="38"/>
      <c r="AL15" s="38"/>
      <c r="AM15" s="38"/>
      <c r="AN15" s="38"/>
      <c r="AO15" s="38"/>
      <c r="AP15" s="38"/>
      <c r="AQ15" s="38"/>
      <c r="AR15" s="38"/>
      <c r="AS15" s="38"/>
    </row>
    <row r="16" spans="1:45" ht="16.5" x14ac:dyDescent="0.25">
      <c r="A16" s="38"/>
      <c r="B16" s="38"/>
      <c r="C16" s="65" t="s">
        <v>60</v>
      </c>
      <c r="D16" s="68">
        <f>D15-Calculos!D34</f>
        <v>28534.482758620696</v>
      </c>
      <c r="E16" s="68">
        <f>E15-Calculos!E34</f>
        <v>35224.827586206899</v>
      </c>
      <c r="F16" s="68">
        <f>F15-Calculos!F34</f>
        <v>41369.139862069031</v>
      </c>
      <c r="G16" s="68">
        <f>G15-Calculos!G34</f>
        <v>47997.081589889684</v>
      </c>
      <c r="H16" s="68">
        <f>H15-Calculos!H34</f>
        <v>55140.085328145433</v>
      </c>
      <c r="I16" s="68">
        <f>I15-Calculos!I34</f>
        <v>62831.454647371924</v>
      </c>
      <c r="J16" s="38"/>
      <c r="K16" s="38"/>
      <c r="L16" s="38"/>
      <c r="M16" s="38"/>
      <c r="N16" s="38"/>
      <c r="O16" s="38"/>
      <c r="P16" s="38"/>
      <c r="Q16" s="38"/>
      <c r="R16" s="38"/>
      <c r="S16" s="38"/>
      <c r="T16" s="38"/>
      <c r="U16" s="38"/>
      <c r="V16" s="38"/>
      <c r="W16" s="38"/>
      <c r="X16" s="38"/>
      <c r="Y16" s="38"/>
      <c r="Z16" s="38"/>
      <c r="AA16" s="38"/>
      <c r="AB16" s="38"/>
      <c r="AC16" s="38"/>
      <c r="AD16" s="38"/>
      <c r="AE16" s="38"/>
      <c r="AF16" s="38"/>
      <c r="AG16" s="38"/>
      <c r="AH16" s="38"/>
      <c r="AI16" s="38"/>
      <c r="AJ16" s="38"/>
      <c r="AK16" s="38"/>
      <c r="AL16" s="38"/>
      <c r="AM16" s="38"/>
      <c r="AN16" s="38"/>
      <c r="AO16" s="38"/>
      <c r="AP16" s="38"/>
      <c r="AQ16" s="38"/>
      <c r="AR16" s="38"/>
      <c r="AS16" s="38"/>
    </row>
    <row r="17" spans="1:45" ht="16.5" x14ac:dyDescent="0.25">
      <c r="A17" s="38"/>
      <c r="B17" s="38"/>
      <c r="C17" s="65" t="s">
        <v>61</v>
      </c>
      <c r="D17" s="68">
        <v>0</v>
      </c>
      <c r="E17" s="68">
        <v>0</v>
      </c>
      <c r="F17" s="68">
        <f>F16*(0.2)</f>
        <v>8273.8279724138065</v>
      </c>
      <c r="G17" s="68">
        <f>G16*(0.2)</f>
        <v>9599.4163179779371</v>
      </c>
      <c r="H17" s="68">
        <f>H16*(0.2)</f>
        <v>11028.017065629087</v>
      </c>
      <c r="I17" s="68">
        <f>I16*(0.2)</f>
        <v>12566.290929474386</v>
      </c>
      <c r="J17" s="38"/>
      <c r="K17" s="38"/>
      <c r="L17" s="38"/>
      <c r="M17" s="38"/>
      <c r="N17" s="38"/>
      <c r="O17" s="38"/>
      <c r="P17" s="38"/>
      <c r="Q17" s="38"/>
      <c r="R17" s="38"/>
      <c r="S17" s="38"/>
      <c r="T17" s="38"/>
      <c r="U17" s="38"/>
      <c r="V17" s="38"/>
      <c r="W17" s="38"/>
      <c r="X17" s="38"/>
      <c r="Y17" s="38"/>
      <c r="Z17" s="38"/>
      <c r="AA17" s="38"/>
      <c r="AB17" s="38"/>
      <c r="AC17" s="38"/>
      <c r="AD17" s="38"/>
      <c r="AE17" s="38"/>
      <c r="AF17" s="38"/>
      <c r="AG17" s="38"/>
      <c r="AH17" s="38"/>
      <c r="AI17" s="38"/>
      <c r="AJ17" s="38"/>
      <c r="AK17" s="38"/>
      <c r="AL17" s="38"/>
      <c r="AM17" s="38"/>
      <c r="AN17" s="38"/>
      <c r="AO17" s="38"/>
      <c r="AP17" s="38"/>
      <c r="AQ17" s="38"/>
      <c r="AR17" s="38"/>
      <c r="AS17" s="38"/>
    </row>
    <row r="18" spans="1:45" ht="16.5" x14ac:dyDescent="0.25">
      <c r="A18" s="38"/>
      <c r="B18" s="38"/>
      <c r="C18" s="66" t="s">
        <v>62</v>
      </c>
      <c r="D18" s="68">
        <f>D16-D17</f>
        <v>28534.482758620696</v>
      </c>
      <c r="E18" s="68">
        <f t="shared" ref="E18:I18" si="4">E16-E17</f>
        <v>35224.827586206899</v>
      </c>
      <c r="F18" s="68">
        <f t="shared" si="4"/>
        <v>33095.311889655226</v>
      </c>
      <c r="G18" s="68">
        <f t="shared" si="4"/>
        <v>38397.665271911748</v>
      </c>
      <c r="H18" s="68">
        <f t="shared" si="4"/>
        <v>44112.068262516346</v>
      </c>
      <c r="I18" s="68">
        <f t="shared" si="4"/>
        <v>50265.163717897536</v>
      </c>
      <c r="J18" s="38"/>
      <c r="K18" s="38"/>
      <c r="L18" s="38"/>
      <c r="M18" s="38"/>
      <c r="N18" s="38"/>
      <c r="O18" s="38"/>
      <c r="P18" s="38"/>
      <c r="Q18" s="38"/>
      <c r="R18" s="38"/>
      <c r="S18" s="38"/>
      <c r="T18" s="38"/>
      <c r="U18" s="38"/>
      <c r="V18" s="38"/>
      <c r="W18" s="38"/>
      <c r="X18" s="38"/>
      <c r="Y18" s="38"/>
      <c r="Z18" s="38"/>
      <c r="AA18" s="38"/>
      <c r="AB18" s="38"/>
      <c r="AC18" s="38"/>
      <c r="AD18" s="38"/>
      <c r="AE18" s="38"/>
      <c r="AF18" s="38"/>
      <c r="AG18" s="38"/>
      <c r="AH18" s="38"/>
      <c r="AI18" s="38"/>
      <c r="AJ18" s="38"/>
      <c r="AK18" s="38"/>
      <c r="AL18" s="38"/>
      <c r="AM18" s="38"/>
      <c r="AN18" s="38"/>
      <c r="AO18" s="38"/>
      <c r="AP18" s="38"/>
      <c r="AQ18" s="38"/>
      <c r="AR18" s="38"/>
      <c r="AS18" s="38"/>
    </row>
    <row r="19" spans="1:45" ht="15" x14ac:dyDescent="0.25">
      <c r="A19" s="38"/>
      <c r="B19" s="38"/>
      <c r="C19" s="38"/>
      <c r="D19" s="38"/>
      <c r="E19" s="38"/>
      <c r="F19" s="38"/>
      <c r="G19" s="38"/>
      <c r="H19" s="38"/>
      <c r="I19" s="38"/>
      <c r="J19" s="38"/>
      <c r="K19" s="38"/>
      <c r="L19" s="38"/>
      <c r="M19" s="38"/>
      <c r="N19" s="38"/>
      <c r="O19" s="38"/>
      <c r="P19" s="38"/>
      <c r="Q19" s="38"/>
      <c r="R19" s="38"/>
      <c r="S19" s="38"/>
      <c r="T19" s="38"/>
      <c r="U19" s="38"/>
      <c r="V19" s="38"/>
      <c r="W19" s="38"/>
      <c r="X19" s="38"/>
      <c r="Y19" s="38"/>
      <c r="Z19" s="38"/>
      <c r="AA19" s="38"/>
      <c r="AB19" s="38"/>
      <c r="AC19" s="38"/>
      <c r="AD19" s="38"/>
      <c r="AE19" s="38"/>
      <c r="AF19" s="38"/>
      <c r="AG19" s="38"/>
      <c r="AH19" s="38"/>
      <c r="AI19" s="38"/>
      <c r="AJ19" s="38"/>
      <c r="AK19" s="38"/>
      <c r="AL19" s="38"/>
      <c r="AM19" s="38"/>
      <c r="AN19" s="38"/>
      <c r="AO19" s="38"/>
      <c r="AP19" s="38"/>
      <c r="AQ19" s="38"/>
      <c r="AR19" s="38"/>
      <c r="AS19" s="38"/>
    </row>
    <row r="20" spans="1:45" ht="15" x14ac:dyDescent="0.25">
      <c r="A20" s="38"/>
      <c r="B20" s="38"/>
      <c r="C20" s="38"/>
      <c r="D20" s="38"/>
      <c r="E20" s="38"/>
      <c r="F20" s="38"/>
      <c r="G20" s="38"/>
      <c r="H20" s="38"/>
      <c r="I20" s="38"/>
      <c r="J20" s="38"/>
      <c r="K20" s="38"/>
      <c r="L20" s="38"/>
      <c r="M20" s="38"/>
      <c r="N20" s="38"/>
      <c r="O20" s="38"/>
      <c r="P20" s="38"/>
      <c r="Q20" s="38"/>
      <c r="R20" s="38"/>
      <c r="S20" s="38"/>
      <c r="T20" s="38"/>
      <c r="U20" s="38"/>
      <c r="V20" s="38"/>
      <c r="W20" s="38"/>
      <c r="X20" s="38"/>
      <c r="Y20" s="38"/>
      <c r="Z20" s="38"/>
      <c r="AA20" s="38"/>
      <c r="AB20" s="38"/>
      <c r="AC20" s="38"/>
      <c r="AD20" s="38"/>
      <c r="AE20" s="38"/>
      <c r="AF20" s="38"/>
      <c r="AG20" s="38"/>
      <c r="AH20" s="38"/>
      <c r="AI20" s="38"/>
      <c r="AJ20" s="38"/>
      <c r="AK20" s="38"/>
      <c r="AL20" s="38"/>
      <c r="AM20" s="38"/>
      <c r="AN20" s="38"/>
      <c r="AO20" s="38"/>
      <c r="AP20" s="38"/>
      <c r="AQ20" s="38"/>
      <c r="AR20" s="38"/>
      <c r="AS20" s="38"/>
    </row>
    <row r="21" spans="1:45" ht="15" x14ac:dyDescent="0.25">
      <c r="A21" s="38"/>
      <c r="B21" s="38"/>
      <c r="C21" s="38"/>
      <c r="D21" s="38"/>
      <c r="E21" s="38"/>
      <c r="F21" s="38"/>
      <c r="G21" s="38"/>
      <c r="H21" s="38"/>
      <c r="I21" s="38"/>
      <c r="J21" s="38"/>
      <c r="K21" s="38"/>
      <c r="L21" s="38"/>
      <c r="M21" s="38"/>
      <c r="N21" s="38"/>
      <c r="O21" s="38"/>
      <c r="P21" s="38"/>
      <c r="Q21" s="38"/>
      <c r="R21" s="38"/>
      <c r="S21" s="38"/>
      <c r="T21" s="38"/>
      <c r="U21" s="38"/>
      <c r="V21" s="38"/>
      <c r="W21" s="38"/>
      <c r="X21" s="38"/>
      <c r="Y21" s="38"/>
      <c r="Z21" s="38"/>
      <c r="AA21" s="38"/>
      <c r="AB21" s="38"/>
      <c r="AC21" s="38"/>
      <c r="AD21" s="38"/>
      <c r="AE21" s="38"/>
      <c r="AF21" s="38"/>
      <c r="AG21" s="38"/>
      <c r="AH21" s="38"/>
      <c r="AI21" s="38"/>
      <c r="AJ21" s="38"/>
      <c r="AK21" s="38"/>
      <c r="AL21" s="38"/>
      <c r="AM21" s="38"/>
      <c r="AN21" s="38"/>
      <c r="AO21" s="38"/>
      <c r="AP21" s="38"/>
      <c r="AQ21" s="38"/>
      <c r="AR21" s="38"/>
      <c r="AS21" s="38"/>
    </row>
    <row r="22" spans="1:45" ht="15" x14ac:dyDescent="0.25">
      <c r="A22" s="38"/>
      <c r="B22" s="38"/>
      <c r="C22" s="38"/>
      <c r="D22" s="38"/>
      <c r="E22" s="38"/>
      <c r="F22" s="38"/>
      <c r="G22" s="38"/>
      <c r="H22" s="38"/>
      <c r="I22" s="38"/>
      <c r="J22" s="38"/>
      <c r="K22" s="38"/>
      <c r="L22" s="38"/>
      <c r="M22" s="38"/>
      <c r="N22" s="38"/>
      <c r="O22" s="38"/>
      <c r="P22" s="38"/>
      <c r="Q22" s="38"/>
      <c r="R22" s="38"/>
      <c r="S22" s="38"/>
      <c r="T22" s="38"/>
      <c r="U22" s="38"/>
      <c r="V22" s="38"/>
      <c r="W22" s="38"/>
      <c r="X22" s="38"/>
      <c r="Y22" s="38"/>
      <c r="Z22" s="38"/>
      <c r="AA22" s="38"/>
      <c r="AB22" s="38"/>
      <c r="AC22" s="38"/>
      <c r="AD22" s="38"/>
      <c r="AE22" s="38"/>
      <c r="AF22" s="38"/>
      <c r="AG22" s="38"/>
      <c r="AH22" s="38"/>
      <c r="AI22" s="38"/>
      <c r="AJ22" s="38"/>
      <c r="AK22" s="38"/>
      <c r="AL22" s="38"/>
      <c r="AM22" s="38"/>
      <c r="AN22" s="38"/>
      <c r="AO22" s="38"/>
      <c r="AP22" s="38"/>
      <c r="AQ22" s="38"/>
      <c r="AR22" s="38"/>
      <c r="AS22" s="38"/>
    </row>
    <row r="23" spans="1:45" ht="15" x14ac:dyDescent="0.25">
      <c r="A23" s="38"/>
      <c r="B23" s="38"/>
      <c r="C23" s="38"/>
      <c r="D23" s="38"/>
      <c r="E23" s="38"/>
      <c r="F23" s="38"/>
      <c r="G23" s="38"/>
      <c r="H23" s="38"/>
      <c r="I23" s="38"/>
      <c r="J23" s="38"/>
      <c r="K23" s="38"/>
      <c r="L23" s="38"/>
      <c r="M23" s="38"/>
      <c r="N23" s="38"/>
      <c r="O23" s="38"/>
      <c r="P23" s="38"/>
      <c r="Q23" s="38"/>
      <c r="R23" s="38"/>
      <c r="S23" s="38"/>
      <c r="T23" s="38"/>
      <c r="U23" s="38"/>
      <c r="V23" s="38"/>
      <c r="W23" s="38"/>
      <c r="X23" s="38"/>
      <c r="Y23" s="38"/>
      <c r="Z23" s="38"/>
      <c r="AA23" s="38"/>
      <c r="AB23" s="38"/>
      <c r="AC23" s="38"/>
      <c r="AD23" s="38"/>
      <c r="AE23" s="38"/>
      <c r="AF23" s="38"/>
      <c r="AG23" s="38"/>
      <c r="AH23" s="38"/>
      <c r="AI23" s="38"/>
      <c r="AJ23" s="38"/>
      <c r="AK23" s="38"/>
      <c r="AL23" s="38"/>
      <c r="AM23" s="38"/>
      <c r="AN23" s="38"/>
      <c r="AO23" s="38"/>
      <c r="AP23" s="38"/>
      <c r="AQ23" s="38"/>
      <c r="AR23" s="38"/>
      <c r="AS23" s="38"/>
    </row>
    <row r="24" spans="1:45" ht="15" x14ac:dyDescent="0.25">
      <c r="A24" s="38"/>
      <c r="B24" s="38"/>
      <c r="C24" s="38"/>
      <c r="D24" s="38"/>
      <c r="E24" s="38"/>
      <c r="F24" s="38"/>
      <c r="G24" s="38"/>
      <c r="H24" s="38"/>
      <c r="I24" s="38"/>
      <c r="J24" s="38"/>
      <c r="K24" s="38"/>
      <c r="L24" s="38"/>
      <c r="M24" s="38"/>
      <c r="N24" s="38"/>
      <c r="O24" s="38"/>
      <c r="P24" s="38"/>
      <c r="Q24" s="38"/>
      <c r="R24" s="38"/>
      <c r="S24" s="38"/>
      <c r="T24" s="38"/>
      <c r="U24" s="38"/>
      <c r="V24" s="38"/>
      <c r="W24" s="38"/>
      <c r="X24" s="38"/>
      <c r="Y24" s="38"/>
      <c r="Z24" s="38"/>
      <c r="AA24" s="38"/>
      <c r="AB24" s="38"/>
      <c r="AC24" s="38"/>
      <c r="AD24" s="38"/>
      <c r="AE24" s="38"/>
      <c r="AF24" s="38"/>
      <c r="AG24" s="38"/>
      <c r="AH24" s="38"/>
      <c r="AI24" s="38"/>
      <c r="AJ24" s="38"/>
      <c r="AK24" s="38"/>
      <c r="AL24" s="38"/>
      <c r="AM24" s="38"/>
      <c r="AN24" s="38"/>
      <c r="AO24" s="38"/>
      <c r="AP24" s="38"/>
      <c r="AQ24" s="38"/>
      <c r="AR24" s="38"/>
      <c r="AS24" s="38"/>
    </row>
    <row r="25" spans="1:45" ht="15" x14ac:dyDescent="0.25">
      <c r="A25" s="38"/>
      <c r="B25" s="38"/>
      <c r="C25" s="38"/>
      <c r="D25" s="38"/>
      <c r="E25" s="38"/>
      <c r="F25" s="38"/>
      <c r="G25" s="38"/>
      <c r="H25" s="38"/>
      <c r="I25" s="38"/>
      <c r="J25" s="38"/>
      <c r="K25" s="38"/>
      <c r="L25" s="38"/>
      <c r="M25" s="38"/>
      <c r="N25" s="38"/>
      <c r="O25" s="38"/>
      <c r="P25" s="38"/>
      <c r="Q25" s="38"/>
      <c r="R25" s="38"/>
      <c r="S25" s="38"/>
      <c r="T25" s="38"/>
      <c r="U25" s="38"/>
      <c r="V25" s="38"/>
      <c r="W25" s="38"/>
      <c r="X25" s="38"/>
      <c r="Y25" s="38"/>
      <c r="Z25" s="38"/>
      <c r="AA25" s="38"/>
      <c r="AB25" s="38"/>
      <c r="AC25" s="38"/>
      <c r="AD25" s="38"/>
      <c r="AE25" s="38"/>
      <c r="AF25" s="38"/>
      <c r="AG25" s="38"/>
      <c r="AH25" s="38"/>
      <c r="AI25" s="38"/>
      <c r="AJ25" s="38"/>
      <c r="AK25" s="38"/>
      <c r="AL25" s="38"/>
      <c r="AM25" s="38"/>
      <c r="AN25" s="38"/>
      <c r="AO25" s="38"/>
      <c r="AP25" s="38"/>
      <c r="AQ25" s="38"/>
      <c r="AR25" s="38"/>
      <c r="AS25" s="38"/>
    </row>
    <row r="26" spans="1:45" ht="15" x14ac:dyDescent="0.25">
      <c r="A26" s="38"/>
      <c r="B26" s="38"/>
      <c r="C26" s="38"/>
      <c r="D26" s="38"/>
      <c r="E26" s="38"/>
      <c r="F26" s="38"/>
      <c r="G26" s="38"/>
      <c r="H26" s="38"/>
      <c r="I26" s="38"/>
      <c r="J26" s="38"/>
      <c r="K26" s="38"/>
      <c r="L26" s="38"/>
      <c r="M26" s="38"/>
      <c r="N26" s="38"/>
      <c r="O26" s="38"/>
      <c r="P26" s="38"/>
      <c r="Q26" s="38"/>
      <c r="R26" s="38"/>
      <c r="S26" s="38"/>
      <c r="T26" s="38"/>
      <c r="U26" s="38"/>
      <c r="V26" s="38"/>
      <c r="W26" s="38"/>
      <c r="X26" s="38"/>
      <c r="Y26" s="38"/>
      <c r="Z26" s="38"/>
      <c r="AA26" s="38"/>
      <c r="AB26" s="38"/>
      <c r="AC26" s="38"/>
      <c r="AD26" s="38"/>
      <c r="AE26" s="38"/>
      <c r="AF26" s="38"/>
      <c r="AG26" s="38"/>
      <c r="AH26" s="38"/>
      <c r="AI26" s="38"/>
      <c r="AJ26" s="38"/>
      <c r="AK26" s="38"/>
      <c r="AL26" s="38"/>
      <c r="AM26" s="38"/>
      <c r="AN26" s="38"/>
      <c r="AO26" s="38"/>
      <c r="AP26" s="38"/>
      <c r="AQ26" s="38"/>
      <c r="AR26" s="38"/>
      <c r="AS26" s="38"/>
    </row>
    <row r="27" spans="1:45" ht="15" x14ac:dyDescent="0.25">
      <c r="A27" s="38"/>
      <c r="B27" s="38"/>
      <c r="C27" s="38"/>
      <c r="D27" s="38"/>
      <c r="E27" s="38"/>
      <c r="F27" s="38"/>
      <c r="G27" s="38"/>
      <c r="H27" s="38"/>
      <c r="I27" s="38"/>
      <c r="J27" s="38"/>
      <c r="K27" s="38"/>
      <c r="L27" s="38"/>
      <c r="M27" s="38"/>
      <c r="N27" s="38"/>
      <c r="O27" s="38"/>
      <c r="P27" s="38"/>
      <c r="Q27" s="38"/>
      <c r="R27" s="38"/>
      <c r="S27" s="38"/>
      <c r="T27" s="38"/>
      <c r="U27" s="38"/>
      <c r="V27" s="38"/>
      <c r="W27" s="38"/>
      <c r="X27" s="38"/>
      <c r="Y27" s="38"/>
      <c r="Z27" s="38"/>
      <c r="AA27" s="38"/>
      <c r="AB27" s="38"/>
      <c r="AC27" s="38"/>
      <c r="AD27" s="38"/>
      <c r="AE27" s="38"/>
      <c r="AF27" s="38"/>
      <c r="AG27" s="38"/>
      <c r="AH27" s="38"/>
      <c r="AI27" s="38"/>
      <c r="AJ27" s="38"/>
      <c r="AK27" s="38"/>
      <c r="AL27" s="38"/>
      <c r="AM27" s="38"/>
      <c r="AN27" s="38"/>
      <c r="AO27" s="38"/>
      <c r="AP27" s="38"/>
      <c r="AQ27" s="38"/>
      <c r="AR27" s="38"/>
      <c r="AS27" s="38"/>
    </row>
    <row r="28" spans="1:45" ht="15" x14ac:dyDescent="0.25">
      <c r="A28" s="38"/>
      <c r="B28" s="38"/>
      <c r="C28" s="38"/>
      <c r="D28" s="38"/>
      <c r="E28" s="38"/>
      <c r="F28" s="38"/>
      <c r="G28" s="38"/>
      <c r="H28" s="38"/>
      <c r="I28" s="38"/>
      <c r="J28" s="38"/>
      <c r="K28" s="38"/>
      <c r="L28" s="38"/>
      <c r="M28" s="38"/>
      <c r="N28" s="38"/>
      <c r="O28" s="38"/>
      <c r="P28" s="38"/>
      <c r="Q28" s="38"/>
      <c r="R28" s="38"/>
      <c r="S28" s="38"/>
      <c r="T28" s="38"/>
      <c r="U28" s="38"/>
      <c r="V28" s="38"/>
      <c r="W28" s="38"/>
      <c r="X28" s="38"/>
      <c r="Y28" s="38"/>
      <c r="Z28" s="38"/>
      <c r="AA28" s="38"/>
      <c r="AB28" s="38"/>
      <c r="AC28" s="38"/>
      <c r="AD28" s="38"/>
      <c r="AE28" s="38"/>
      <c r="AF28" s="38"/>
      <c r="AG28" s="38"/>
      <c r="AH28" s="38"/>
      <c r="AI28" s="38"/>
      <c r="AJ28" s="38"/>
      <c r="AK28" s="38"/>
      <c r="AL28" s="38"/>
      <c r="AM28" s="38"/>
      <c r="AN28" s="38"/>
      <c r="AO28" s="38"/>
      <c r="AP28" s="38"/>
      <c r="AQ28" s="38"/>
      <c r="AR28" s="38"/>
      <c r="AS28" s="38"/>
    </row>
    <row r="29" spans="1:45" ht="15" x14ac:dyDescent="0.25">
      <c r="A29" s="38"/>
      <c r="B29" s="38"/>
      <c r="C29" s="38"/>
      <c r="D29" s="38"/>
      <c r="E29" s="38"/>
      <c r="F29" s="38"/>
      <c r="G29" s="38"/>
      <c r="H29" s="38"/>
      <c r="I29" s="38"/>
      <c r="J29" s="38"/>
      <c r="K29" s="38"/>
      <c r="L29" s="38"/>
      <c r="M29" s="38"/>
      <c r="N29" s="38"/>
      <c r="O29" s="38"/>
      <c r="P29" s="38"/>
      <c r="Q29" s="38"/>
      <c r="R29" s="38"/>
      <c r="S29" s="38"/>
      <c r="T29" s="38"/>
      <c r="U29" s="38"/>
      <c r="V29" s="38"/>
      <c r="W29" s="38"/>
      <c r="X29" s="38"/>
      <c r="Y29" s="38"/>
      <c r="Z29" s="38"/>
      <c r="AA29" s="38"/>
      <c r="AB29" s="38"/>
      <c r="AC29" s="38"/>
      <c r="AD29" s="38"/>
      <c r="AE29" s="38"/>
      <c r="AF29" s="38"/>
      <c r="AG29" s="38"/>
      <c r="AH29" s="38"/>
      <c r="AI29" s="38"/>
      <c r="AJ29" s="38"/>
      <c r="AK29" s="38"/>
      <c r="AL29" s="38"/>
      <c r="AM29" s="38"/>
      <c r="AN29" s="38"/>
      <c r="AO29" s="38"/>
      <c r="AP29" s="38"/>
      <c r="AQ29" s="38"/>
      <c r="AR29" s="38"/>
      <c r="AS29" s="38"/>
    </row>
    <row r="30" spans="1:45" ht="15" x14ac:dyDescent="0.25">
      <c r="A30" s="38"/>
      <c r="B30" s="38"/>
      <c r="C30" s="38"/>
      <c r="D30" s="38"/>
      <c r="E30" s="38"/>
      <c r="F30" s="38"/>
      <c r="G30" s="38"/>
      <c r="H30" s="38"/>
      <c r="I30" s="38"/>
      <c r="J30" s="38"/>
      <c r="K30" s="38"/>
      <c r="L30" s="38"/>
      <c r="M30" s="38"/>
      <c r="N30" s="38"/>
      <c r="O30" s="38"/>
      <c r="P30" s="38"/>
      <c r="Q30" s="38"/>
      <c r="R30" s="38"/>
      <c r="S30" s="38"/>
      <c r="T30" s="38"/>
      <c r="U30" s="38"/>
      <c r="V30" s="38"/>
      <c r="W30" s="38"/>
      <c r="X30" s="38"/>
      <c r="Y30" s="38"/>
      <c r="Z30" s="38"/>
      <c r="AA30" s="38"/>
      <c r="AB30" s="38"/>
      <c r="AC30" s="38"/>
      <c r="AD30" s="38"/>
      <c r="AE30" s="38"/>
      <c r="AF30" s="38"/>
      <c r="AG30" s="38"/>
      <c r="AH30" s="38"/>
      <c r="AI30" s="38"/>
      <c r="AJ30" s="38"/>
      <c r="AK30" s="38"/>
      <c r="AL30" s="38"/>
      <c r="AM30" s="38"/>
      <c r="AN30" s="38"/>
      <c r="AO30" s="38"/>
      <c r="AP30" s="38"/>
      <c r="AQ30" s="38"/>
      <c r="AR30" s="38"/>
      <c r="AS30" s="38"/>
    </row>
    <row r="31" spans="1:45" ht="15" x14ac:dyDescent="0.25">
      <c r="A31" s="38"/>
      <c r="B31" s="38"/>
      <c r="C31" s="38"/>
      <c r="D31" s="38"/>
      <c r="E31" s="38"/>
      <c r="F31" s="38"/>
      <c r="G31" s="38"/>
      <c r="H31" s="38"/>
      <c r="I31" s="38"/>
      <c r="J31" s="38"/>
      <c r="K31" s="38"/>
      <c r="L31" s="38"/>
      <c r="M31" s="38"/>
      <c r="N31" s="38"/>
      <c r="O31" s="38"/>
      <c r="P31" s="38"/>
      <c r="Q31" s="38"/>
      <c r="R31" s="38"/>
      <c r="S31" s="38"/>
      <c r="T31" s="38"/>
      <c r="U31" s="38"/>
      <c r="V31" s="38"/>
      <c r="W31" s="38"/>
      <c r="X31" s="38"/>
      <c r="Y31" s="38"/>
      <c r="Z31" s="38"/>
      <c r="AA31" s="38"/>
      <c r="AB31" s="38"/>
      <c r="AC31" s="38"/>
      <c r="AD31" s="38"/>
      <c r="AE31" s="38"/>
      <c r="AF31" s="38"/>
      <c r="AG31" s="38"/>
      <c r="AH31" s="38"/>
      <c r="AI31" s="38"/>
      <c r="AJ31" s="38"/>
      <c r="AK31" s="38"/>
      <c r="AL31" s="38"/>
      <c r="AM31" s="38"/>
      <c r="AN31" s="38"/>
      <c r="AO31" s="38"/>
      <c r="AP31" s="38"/>
      <c r="AQ31" s="38"/>
      <c r="AR31" s="38"/>
      <c r="AS31" s="38"/>
    </row>
    <row r="32" spans="1:45" ht="15" x14ac:dyDescent="0.25">
      <c r="A32" s="38"/>
      <c r="B32" s="38"/>
      <c r="C32" s="38"/>
      <c r="D32" s="38"/>
      <c r="E32" s="38"/>
      <c r="F32" s="38"/>
      <c r="G32" s="38"/>
      <c r="H32" s="38"/>
      <c r="I32" s="38"/>
      <c r="J32" s="38"/>
      <c r="K32" s="38"/>
      <c r="L32" s="38"/>
      <c r="M32" s="38"/>
      <c r="N32" s="38"/>
      <c r="O32" s="38"/>
      <c r="P32" s="38"/>
      <c r="Q32" s="38"/>
      <c r="R32" s="38"/>
      <c r="S32" s="38"/>
      <c r="T32" s="38"/>
      <c r="U32" s="38"/>
      <c r="V32" s="38"/>
      <c r="W32" s="38"/>
      <c r="X32" s="38"/>
      <c r="Y32" s="38"/>
      <c r="Z32" s="38"/>
      <c r="AA32" s="38"/>
      <c r="AB32" s="38"/>
      <c r="AC32" s="38"/>
      <c r="AD32" s="38"/>
      <c r="AE32" s="38"/>
      <c r="AF32" s="38"/>
      <c r="AG32" s="38"/>
      <c r="AH32" s="38"/>
      <c r="AI32" s="38"/>
      <c r="AJ32" s="38"/>
      <c r="AK32" s="38"/>
      <c r="AL32" s="38"/>
      <c r="AM32" s="38"/>
      <c r="AN32" s="38"/>
      <c r="AO32" s="38"/>
      <c r="AP32" s="38"/>
      <c r="AQ32" s="38"/>
      <c r="AR32" s="38"/>
      <c r="AS32" s="38"/>
    </row>
    <row r="33" spans="1:45" ht="15" x14ac:dyDescent="0.25">
      <c r="A33" s="38"/>
      <c r="B33" s="38"/>
      <c r="C33" s="38"/>
      <c r="D33" s="38"/>
      <c r="E33" s="38"/>
      <c r="F33" s="38"/>
      <c r="G33" s="38"/>
      <c r="H33" s="38"/>
      <c r="I33" s="38"/>
      <c r="J33" s="38"/>
      <c r="K33" s="38"/>
      <c r="L33" s="38"/>
      <c r="M33" s="38"/>
      <c r="N33" s="38"/>
      <c r="O33" s="38"/>
      <c r="P33" s="38"/>
      <c r="Q33" s="38"/>
      <c r="R33" s="38"/>
      <c r="S33" s="38"/>
      <c r="T33" s="38"/>
      <c r="U33" s="38"/>
      <c r="V33" s="38"/>
      <c r="W33" s="38"/>
      <c r="X33" s="38"/>
      <c r="Y33" s="38"/>
      <c r="Z33" s="38"/>
      <c r="AA33" s="38"/>
      <c r="AB33" s="38"/>
      <c r="AC33" s="38"/>
      <c r="AD33" s="38"/>
      <c r="AE33" s="38"/>
      <c r="AF33" s="38"/>
      <c r="AG33" s="38"/>
      <c r="AH33" s="38"/>
      <c r="AI33" s="38"/>
      <c r="AJ33" s="38"/>
      <c r="AK33" s="38"/>
      <c r="AL33" s="38"/>
      <c r="AM33" s="38"/>
      <c r="AN33" s="38"/>
      <c r="AO33" s="38"/>
      <c r="AP33" s="38"/>
      <c r="AQ33" s="38"/>
      <c r="AR33" s="38"/>
      <c r="AS33" s="38"/>
    </row>
    <row r="34" spans="1:45" ht="15" x14ac:dyDescent="0.25">
      <c r="A34" s="38"/>
      <c r="B34" s="38"/>
      <c r="C34" s="38"/>
      <c r="D34" s="38"/>
      <c r="E34" s="38"/>
      <c r="F34" s="38"/>
      <c r="G34" s="38"/>
      <c r="H34" s="38"/>
      <c r="I34" s="38"/>
      <c r="J34" s="38"/>
      <c r="K34" s="38"/>
      <c r="L34" s="38"/>
      <c r="M34" s="38"/>
      <c r="N34" s="38"/>
      <c r="O34" s="38"/>
      <c r="P34" s="38"/>
      <c r="Q34" s="38"/>
      <c r="R34" s="38"/>
      <c r="S34" s="38"/>
      <c r="T34" s="38"/>
      <c r="U34" s="38"/>
      <c r="V34" s="38"/>
      <c r="W34" s="38"/>
      <c r="X34" s="38"/>
      <c r="Y34" s="38"/>
      <c r="Z34" s="38"/>
      <c r="AA34" s="38"/>
      <c r="AB34" s="38"/>
      <c r="AC34" s="38"/>
      <c r="AD34" s="38"/>
      <c r="AE34" s="38"/>
      <c r="AF34" s="38"/>
      <c r="AG34" s="38"/>
      <c r="AH34" s="38"/>
      <c r="AI34" s="38"/>
      <c r="AJ34" s="38"/>
      <c r="AK34" s="38"/>
      <c r="AL34" s="38"/>
      <c r="AM34" s="38"/>
      <c r="AN34" s="38"/>
      <c r="AO34" s="38"/>
      <c r="AP34" s="38"/>
      <c r="AQ34" s="38"/>
      <c r="AR34" s="38"/>
      <c r="AS34" s="38"/>
    </row>
    <row r="35" spans="1:45" ht="15" x14ac:dyDescent="0.25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38"/>
      <c r="X35" s="38"/>
      <c r="Y35" s="38"/>
      <c r="Z35" s="38"/>
      <c r="AA35" s="38"/>
      <c r="AB35" s="38"/>
      <c r="AC35" s="38"/>
      <c r="AD35" s="38"/>
      <c r="AE35" s="38"/>
      <c r="AF35" s="38"/>
      <c r="AG35" s="38"/>
      <c r="AH35" s="38"/>
      <c r="AI35" s="38"/>
      <c r="AJ35" s="38"/>
      <c r="AK35" s="38"/>
      <c r="AL35" s="38"/>
      <c r="AM35" s="38"/>
      <c r="AN35" s="38"/>
      <c r="AO35" s="38"/>
      <c r="AP35" s="38"/>
      <c r="AQ35" s="38"/>
      <c r="AR35" s="38"/>
      <c r="AS35" s="38"/>
    </row>
    <row r="36" spans="1:45" ht="15" x14ac:dyDescent="0.25">
      <c r="A36" s="38"/>
      <c r="B36" s="38"/>
      <c r="C36" s="38"/>
      <c r="D36" s="38"/>
      <c r="E36" s="38"/>
      <c r="F36" s="38"/>
      <c r="G36" s="38"/>
      <c r="H36" s="38"/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38"/>
      <c r="W36" s="38"/>
      <c r="X36" s="38"/>
      <c r="Y36" s="38"/>
      <c r="Z36" s="38"/>
      <c r="AA36" s="38"/>
      <c r="AB36" s="38"/>
      <c r="AC36" s="38"/>
      <c r="AD36" s="38"/>
      <c r="AE36" s="38"/>
      <c r="AF36" s="38"/>
      <c r="AG36" s="38"/>
      <c r="AH36" s="38"/>
      <c r="AI36" s="38"/>
      <c r="AJ36" s="38"/>
      <c r="AK36" s="38"/>
      <c r="AL36" s="38"/>
      <c r="AM36" s="38"/>
      <c r="AN36" s="38"/>
      <c r="AO36" s="38"/>
      <c r="AP36" s="38"/>
      <c r="AQ36" s="38"/>
      <c r="AR36" s="38"/>
      <c r="AS36" s="38"/>
    </row>
    <row r="37" spans="1:45" ht="15" x14ac:dyDescent="0.25">
      <c r="A37" s="38"/>
      <c r="B37" s="38"/>
      <c r="C37" s="38"/>
      <c r="D37" s="38"/>
      <c r="E37" s="38"/>
      <c r="F37" s="38"/>
      <c r="G37" s="38"/>
      <c r="H37" s="38"/>
      <c r="I37" s="38"/>
      <c r="J37" s="38"/>
      <c r="K37" s="38"/>
      <c r="L37" s="38"/>
      <c r="M37" s="38"/>
      <c r="N37" s="38"/>
      <c r="O37" s="38"/>
      <c r="P37" s="38"/>
      <c r="Q37" s="38"/>
      <c r="R37" s="38"/>
      <c r="S37" s="38"/>
      <c r="T37" s="38"/>
      <c r="U37" s="38"/>
      <c r="V37" s="38"/>
      <c r="W37" s="38"/>
      <c r="X37" s="38"/>
      <c r="Y37" s="38"/>
      <c r="Z37" s="38"/>
      <c r="AA37" s="38"/>
      <c r="AB37" s="38"/>
      <c r="AC37" s="38"/>
      <c r="AD37" s="38"/>
      <c r="AE37" s="38"/>
      <c r="AF37" s="38"/>
      <c r="AG37" s="38"/>
      <c r="AH37" s="38"/>
      <c r="AI37" s="38"/>
      <c r="AJ37" s="38"/>
      <c r="AK37" s="38"/>
      <c r="AL37" s="38"/>
      <c r="AM37" s="38"/>
      <c r="AN37" s="38"/>
      <c r="AO37" s="38"/>
      <c r="AP37" s="38"/>
      <c r="AQ37" s="38"/>
      <c r="AR37" s="38"/>
      <c r="AS37" s="38"/>
    </row>
    <row r="38" spans="1:45" ht="15" x14ac:dyDescent="0.25">
      <c r="A38" s="38"/>
      <c r="B38" s="38"/>
      <c r="C38" s="38"/>
      <c r="D38" s="38"/>
      <c r="E38" s="38"/>
      <c r="F38" s="38"/>
      <c r="G38" s="38"/>
      <c r="H38" s="38"/>
      <c r="I38" s="38"/>
      <c r="J38" s="38"/>
      <c r="K38" s="38"/>
      <c r="L38" s="38"/>
      <c r="M38" s="38"/>
      <c r="N38" s="38"/>
      <c r="O38" s="38"/>
      <c r="P38" s="38"/>
      <c r="Q38" s="38"/>
      <c r="R38" s="38"/>
      <c r="S38" s="38"/>
      <c r="T38" s="38"/>
      <c r="U38" s="38"/>
      <c r="V38" s="38"/>
      <c r="W38" s="38"/>
      <c r="X38" s="38"/>
      <c r="Y38" s="38"/>
      <c r="Z38" s="38"/>
      <c r="AA38" s="38"/>
      <c r="AB38" s="38"/>
      <c r="AC38" s="38"/>
      <c r="AD38" s="38"/>
      <c r="AE38" s="38"/>
      <c r="AF38" s="38"/>
      <c r="AG38" s="38"/>
      <c r="AH38" s="38"/>
      <c r="AI38" s="38"/>
      <c r="AJ38" s="38"/>
      <c r="AK38" s="38"/>
      <c r="AL38" s="38"/>
      <c r="AM38" s="38"/>
      <c r="AN38" s="38"/>
      <c r="AO38" s="38"/>
      <c r="AP38" s="38"/>
      <c r="AQ38" s="38"/>
      <c r="AR38" s="38"/>
      <c r="AS38" s="38"/>
    </row>
    <row r="39" spans="1:45" ht="15" x14ac:dyDescent="0.25">
      <c r="A39" s="38"/>
      <c r="B39" s="38"/>
      <c r="C39" s="38"/>
      <c r="D39" s="38"/>
      <c r="E39" s="38"/>
      <c r="F39" s="38"/>
      <c r="G39" s="38"/>
      <c r="H39" s="38"/>
      <c r="I39" s="38"/>
      <c r="J39" s="38"/>
      <c r="K39" s="38"/>
      <c r="L39" s="38"/>
      <c r="M39" s="38"/>
      <c r="N39" s="38"/>
      <c r="O39" s="38"/>
      <c r="P39" s="38"/>
      <c r="Q39" s="38"/>
      <c r="R39" s="38"/>
      <c r="S39" s="38"/>
      <c r="T39" s="38"/>
      <c r="U39" s="38"/>
      <c r="V39" s="38"/>
      <c r="W39" s="38"/>
      <c r="X39" s="38"/>
      <c r="Y39" s="38"/>
      <c r="Z39" s="38"/>
      <c r="AA39" s="38"/>
      <c r="AB39" s="38"/>
      <c r="AC39" s="38"/>
      <c r="AD39" s="38"/>
      <c r="AE39" s="38"/>
      <c r="AF39" s="38"/>
      <c r="AG39" s="38"/>
      <c r="AH39" s="38"/>
      <c r="AI39" s="38"/>
      <c r="AJ39" s="38"/>
      <c r="AK39" s="38"/>
      <c r="AL39" s="38"/>
      <c r="AM39" s="38"/>
      <c r="AN39" s="38"/>
      <c r="AO39" s="38"/>
      <c r="AP39" s="38"/>
      <c r="AQ39" s="38"/>
      <c r="AR39" s="38"/>
      <c r="AS39" s="38"/>
    </row>
    <row r="40" spans="1:45" ht="15" x14ac:dyDescent="0.25">
      <c r="A40" s="38"/>
      <c r="B40" s="38"/>
      <c r="C40" s="38"/>
      <c r="D40" s="38"/>
      <c r="E40" s="38"/>
      <c r="F40" s="38"/>
      <c r="G40" s="38"/>
      <c r="H40" s="38"/>
      <c r="I40" s="38"/>
      <c r="J40" s="38"/>
      <c r="K40" s="38"/>
      <c r="L40" s="38"/>
      <c r="M40" s="38"/>
      <c r="N40" s="38"/>
      <c r="O40" s="38"/>
      <c r="P40" s="38"/>
      <c r="Q40" s="38"/>
      <c r="R40" s="38"/>
      <c r="S40" s="38"/>
      <c r="T40" s="38"/>
      <c r="U40" s="38"/>
      <c r="V40" s="38"/>
      <c r="W40" s="38"/>
      <c r="X40" s="38"/>
      <c r="Y40" s="38"/>
      <c r="Z40" s="38"/>
      <c r="AA40" s="38"/>
      <c r="AB40" s="38"/>
      <c r="AC40" s="38"/>
      <c r="AD40" s="38"/>
      <c r="AE40" s="38"/>
      <c r="AF40" s="38"/>
      <c r="AG40" s="38"/>
      <c r="AH40" s="38"/>
      <c r="AI40" s="38"/>
      <c r="AJ40" s="38"/>
      <c r="AK40" s="38"/>
      <c r="AL40" s="38"/>
      <c r="AM40" s="38"/>
      <c r="AN40" s="38"/>
      <c r="AO40" s="38"/>
      <c r="AP40" s="38"/>
      <c r="AQ40" s="38"/>
      <c r="AR40" s="38"/>
      <c r="AS40" s="38"/>
    </row>
    <row r="41" spans="1:45" ht="15" x14ac:dyDescent="0.25">
      <c r="A41" s="38"/>
      <c r="B41" s="38"/>
      <c r="C41" s="38"/>
      <c r="D41" s="38"/>
      <c r="E41" s="38"/>
      <c r="F41" s="38"/>
      <c r="G41" s="38"/>
      <c r="H41" s="38"/>
      <c r="I41" s="38"/>
      <c r="J41" s="38"/>
      <c r="K41" s="38"/>
      <c r="L41" s="38"/>
      <c r="M41" s="38"/>
      <c r="N41" s="38"/>
      <c r="O41" s="38"/>
      <c r="P41" s="38"/>
      <c r="Q41" s="38"/>
      <c r="R41" s="38"/>
      <c r="S41" s="38"/>
      <c r="T41" s="38"/>
      <c r="U41" s="38"/>
      <c r="V41" s="38"/>
      <c r="W41" s="38"/>
      <c r="X41" s="38"/>
      <c r="Y41" s="38"/>
      <c r="Z41" s="38"/>
      <c r="AA41" s="38"/>
      <c r="AB41" s="38"/>
      <c r="AC41" s="38"/>
      <c r="AD41" s="38"/>
      <c r="AE41" s="38"/>
      <c r="AF41" s="38"/>
      <c r="AG41" s="38"/>
      <c r="AH41" s="38"/>
      <c r="AI41" s="38"/>
      <c r="AJ41" s="38"/>
      <c r="AK41" s="38"/>
      <c r="AL41" s="38"/>
      <c r="AM41" s="38"/>
      <c r="AN41" s="38"/>
      <c r="AO41" s="38"/>
      <c r="AP41" s="38"/>
      <c r="AQ41" s="38"/>
      <c r="AR41" s="38"/>
      <c r="AS41" s="38"/>
    </row>
    <row r="42" spans="1:45" ht="15" x14ac:dyDescent="0.25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38"/>
      <c r="W42" s="38"/>
      <c r="X42" s="38"/>
      <c r="Y42" s="38"/>
      <c r="Z42" s="38"/>
      <c r="AA42" s="38"/>
      <c r="AB42" s="38"/>
      <c r="AC42" s="38"/>
      <c r="AD42" s="38"/>
      <c r="AE42" s="38"/>
      <c r="AF42" s="38"/>
      <c r="AG42" s="38"/>
      <c r="AH42" s="38"/>
      <c r="AI42" s="38"/>
      <c r="AJ42" s="38"/>
      <c r="AK42" s="38"/>
      <c r="AL42" s="38"/>
      <c r="AM42" s="38"/>
      <c r="AN42" s="38"/>
      <c r="AO42" s="38"/>
      <c r="AP42" s="38"/>
      <c r="AQ42" s="38"/>
      <c r="AR42" s="38"/>
      <c r="AS42" s="38"/>
    </row>
    <row r="43" spans="1:45" ht="15" x14ac:dyDescent="0.25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38"/>
      <c r="W43" s="38"/>
      <c r="X43" s="38"/>
      <c r="Y43" s="38"/>
      <c r="Z43" s="38"/>
      <c r="AA43" s="38"/>
      <c r="AB43" s="38"/>
      <c r="AC43" s="38"/>
      <c r="AD43" s="38"/>
      <c r="AE43" s="38"/>
      <c r="AF43" s="38"/>
      <c r="AG43" s="38"/>
      <c r="AH43" s="38"/>
      <c r="AI43" s="38"/>
      <c r="AJ43" s="38"/>
      <c r="AK43" s="38"/>
      <c r="AL43" s="38"/>
      <c r="AM43" s="38"/>
      <c r="AN43" s="38"/>
      <c r="AO43" s="38"/>
      <c r="AP43" s="38"/>
      <c r="AQ43" s="38"/>
      <c r="AR43" s="38"/>
      <c r="AS43" s="38"/>
    </row>
    <row r="44" spans="1:45" ht="15" x14ac:dyDescent="0.25">
      <c r="A44" s="38"/>
      <c r="B44" s="38"/>
      <c r="C44" s="38"/>
      <c r="D44" s="38"/>
      <c r="E44" s="38"/>
      <c r="F44" s="38"/>
      <c r="G44" s="38"/>
      <c r="H44" s="38"/>
      <c r="I44" s="38"/>
      <c r="J44" s="38"/>
      <c r="K44" s="38"/>
      <c r="L44" s="38"/>
      <c r="M44" s="38"/>
      <c r="N44" s="38"/>
      <c r="O44" s="38"/>
      <c r="P44" s="38"/>
      <c r="Q44" s="38"/>
      <c r="R44" s="38"/>
      <c r="S44" s="38"/>
      <c r="T44" s="38"/>
      <c r="U44" s="38"/>
      <c r="V44" s="38"/>
      <c r="W44" s="38"/>
      <c r="X44" s="38"/>
      <c r="Y44" s="38"/>
      <c r="Z44" s="38"/>
      <c r="AA44" s="38"/>
      <c r="AB44" s="38"/>
      <c r="AC44" s="38"/>
      <c r="AD44" s="38"/>
      <c r="AE44" s="38"/>
      <c r="AF44" s="38"/>
      <c r="AG44" s="38"/>
      <c r="AH44" s="38"/>
      <c r="AI44" s="38"/>
      <c r="AJ44" s="38"/>
      <c r="AK44" s="38"/>
      <c r="AL44" s="38"/>
      <c r="AM44" s="38"/>
      <c r="AN44" s="38"/>
      <c r="AO44" s="38"/>
      <c r="AP44" s="38"/>
      <c r="AQ44" s="38"/>
      <c r="AR44" s="38"/>
      <c r="AS44" s="38"/>
    </row>
    <row r="45" spans="1:45" ht="15" x14ac:dyDescent="0.25">
      <c r="A45" s="38"/>
      <c r="B45" s="38"/>
      <c r="C45" s="38"/>
      <c r="D45" s="38"/>
      <c r="E45" s="38"/>
      <c r="F45" s="38"/>
      <c r="G45" s="38"/>
      <c r="H45" s="38"/>
      <c r="I45" s="38"/>
      <c r="J45" s="38"/>
      <c r="K45" s="38"/>
      <c r="L45" s="38"/>
      <c r="M45" s="38"/>
      <c r="N45" s="38"/>
      <c r="O45" s="38"/>
      <c r="P45" s="38"/>
      <c r="Q45" s="38"/>
      <c r="R45" s="38"/>
      <c r="S45" s="38"/>
      <c r="T45" s="38"/>
      <c r="U45" s="38"/>
      <c r="V45" s="38"/>
      <c r="W45" s="38"/>
      <c r="X45" s="38"/>
      <c r="Y45" s="38"/>
      <c r="Z45" s="38"/>
      <c r="AA45" s="38"/>
      <c r="AB45" s="38"/>
      <c r="AC45" s="38"/>
      <c r="AD45" s="38"/>
      <c r="AE45" s="38"/>
      <c r="AF45" s="38"/>
      <c r="AG45" s="38"/>
      <c r="AH45" s="38"/>
      <c r="AI45" s="38"/>
      <c r="AJ45" s="38"/>
      <c r="AK45" s="38"/>
      <c r="AL45" s="38"/>
      <c r="AM45" s="38"/>
      <c r="AN45" s="38"/>
      <c r="AO45" s="38"/>
      <c r="AP45" s="38"/>
      <c r="AQ45" s="38"/>
      <c r="AR45" s="38"/>
      <c r="AS45" s="38"/>
    </row>
    <row r="46" spans="1:45" ht="15" x14ac:dyDescent="0.25">
      <c r="A46" s="38"/>
      <c r="B46" s="38"/>
      <c r="C46" s="38"/>
      <c r="D46" s="38"/>
      <c r="E46" s="38"/>
      <c r="F46" s="38"/>
      <c r="G46" s="38"/>
      <c r="H46" s="38"/>
      <c r="I46" s="38"/>
      <c r="J46" s="38"/>
      <c r="K46" s="38"/>
      <c r="L46" s="38"/>
      <c r="M46" s="38"/>
      <c r="N46" s="38"/>
      <c r="O46" s="38"/>
      <c r="P46" s="38"/>
      <c r="Q46" s="38"/>
      <c r="R46" s="38"/>
      <c r="S46" s="38"/>
      <c r="T46" s="38"/>
      <c r="U46" s="38"/>
      <c r="V46" s="38"/>
      <c r="W46" s="38"/>
      <c r="X46" s="38"/>
      <c r="Y46" s="38"/>
      <c r="Z46" s="38"/>
      <c r="AA46" s="38"/>
      <c r="AB46" s="38"/>
      <c r="AC46" s="38"/>
      <c r="AD46" s="38"/>
      <c r="AE46" s="38"/>
      <c r="AF46" s="38"/>
      <c r="AG46" s="38"/>
      <c r="AH46" s="38"/>
      <c r="AI46" s="38"/>
      <c r="AJ46" s="38"/>
      <c r="AK46" s="38"/>
      <c r="AL46" s="38"/>
      <c r="AM46" s="38"/>
      <c r="AN46" s="38"/>
      <c r="AO46" s="38"/>
      <c r="AP46" s="38"/>
      <c r="AQ46" s="38"/>
      <c r="AR46" s="38"/>
      <c r="AS46" s="38"/>
    </row>
    <row r="47" spans="1:45" ht="15" x14ac:dyDescent="0.25">
      <c r="A47" s="38"/>
      <c r="B47" s="38"/>
      <c r="C47" s="38"/>
      <c r="D47" s="38"/>
      <c r="E47" s="38"/>
      <c r="F47" s="38"/>
      <c r="G47" s="38"/>
      <c r="H47" s="38"/>
      <c r="I47" s="38"/>
      <c r="J47" s="38"/>
      <c r="K47" s="38"/>
      <c r="L47" s="38"/>
      <c r="M47" s="38"/>
      <c r="N47" s="38"/>
      <c r="O47" s="38"/>
      <c r="P47" s="38"/>
      <c r="Q47" s="38"/>
      <c r="R47" s="38"/>
      <c r="S47" s="38"/>
      <c r="T47" s="38"/>
      <c r="U47" s="38"/>
      <c r="V47" s="38"/>
      <c r="W47" s="38"/>
      <c r="X47" s="38"/>
      <c r="Y47" s="38"/>
      <c r="Z47" s="38"/>
      <c r="AA47" s="38"/>
      <c r="AB47" s="38"/>
      <c r="AC47" s="38"/>
      <c r="AD47" s="38"/>
      <c r="AE47" s="38"/>
      <c r="AF47" s="38"/>
      <c r="AG47" s="38"/>
      <c r="AH47" s="38"/>
      <c r="AI47" s="38"/>
      <c r="AJ47" s="38"/>
      <c r="AK47" s="38"/>
      <c r="AL47" s="38"/>
      <c r="AM47" s="38"/>
      <c r="AN47" s="38"/>
      <c r="AO47" s="38"/>
      <c r="AP47" s="38"/>
      <c r="AQ47" s="38"/>
      <c r="AR47" s="38"/>
      <c r="AS47" s="38"/>
    </row>
    <row r="48" spans="1:45" ht="15" x14ac:dyDescent="0.25">
      <c r="A48" s="38"/>
      <c r="B48" s="38"/>
      <c r="C48" s="38"/>
      <c r="D48" s="38"/>
      <c r="E48" s="38"/>
      <c r="F48" s="38"/>
      <c r="G48" s="38"/>
      <c r="H48" s="38"/>
      <c r="I48" s="38"/>
      <c r="J48" s="38"/>
      <c r="K48" s="38"/>
      <c r="L48" s="38"/>
      <c r="M48" s="38"/>
      <c r="N48" s="38"/>
      <c r="O48" s="38"/>
      <c r="P48" s="38"/>
      <c r="Q48" s="38"/>
      <c r="R48" s="38"/>
      <c r="S48" s="38"/>
      <c r="T48" s="38"/>
      <c r="U48" s="38"/>
      <c r="V48" s="38"/>
      <c r="W48" s="38"/>
      <c r="X48" s="38"/>
      <c r="Y48" s="38"/>
      <c r="Z48" s="38"/>
      <c r="AA48" s="38"/>
      <c r="AB48" s="38"/>
      <c r="AC48" s="38"/>
      <c r="AD48" s="38"/>
      <c r="AE48" s="38"/>
      <c r="AF48" s="38"/>
      <c r="AG48" s="38"/>
      <c r="AH48" s="38"/>
      <c r="AI48" s="38"/>
      <c r="AJ48" s="38"/>
      <c r="AK48" s="38"/>
      <c r="AL48" s="38"/>
      <c r="AM48" s="38"/>
      <c r="AN48" s="38"/>
      <c r="AO48" s="38"/>
      <c r="AP48" s="38"/>
      <c r="AQ48" s="38"/>
      <c r="AR48" s="38"/>
      <c r="AS48" s="38"/>
    </row>
    <row r="49" spans="1:45" ht="15" x14ac:dyDescent="0.25">
      <c r="A49" s="38"/>
      <c r="B49" s="38"/>
      <c r="C49" s="38"/>
      <c r="D49" s="38"/>
      <c r="E49" s="38"/>
      <c r="F49" s="38"/>
      <c r="G49" s="38"/>
      <c r="H49" s="38"/>
      <c r="I49" s="38"/>
      <c r="J49" s="38"/>
      <c r="K49" s="38"/>
      <c r="L49" s="38"/>
      <c r="M49" s="38"/>
      <c r="N49" s="38"/>
      <c r="O49" s="38"/>
      <c r="P49" s="38"/>
      <c r="Q49" s="38"/>
      <c r="R49" s="38"/>
      <c r="S49" s="38"/>
      <c r="T49" s="38"/>
      <c r="U49" s="38"/>
      <c r="V49" s="38"/>
      <c r="W49" s="38"/>
      <c r="X49" s="38"/>
      <c r="Y49" s="38"/>
      <c r="Z49" s="38"/>
      <c r="AA49" s="38"/>
      <c r="AB49" s="38"/>
      <c r="AC49" s="38"/>
      <c r="AD49" s="38"/>
      <c r="AE49" s="38"/>
      <c r="AF49" s="38"/>
      <c r="AG49" s="38"/>
      <c r="AH49" s="38"/>
      <c r="AI49" s="38"/>
      <c r="AJ49" s="38"/>
      <c r="AK49" s="38"/>
      <c r="AL49" s="38"/>
      <c r="AM49" s="38"/>
      <c r="AN49" s="38"/>
      <c r="AO49" s="38"/>
      <c r="AP49" s="38"/>
      <c r="AQ49" s="38"/>
      <c r="AR49" s="38"/>
      <c r="AS49" s="38"/>
    </row>
    <row r="50" spans="1:45" ht="15" x14ac:dyDescent="0.25">
      <c r="A50" s="38"/>
      <c r="B50" s="38"/>
      <c r="C50" s="38"/>
      <c r="D50" s="38"/>
      <c r="E50" s="38"/>
      <c r="F50" s="38"/>
      <c r="G50" s="38"/>
      <c r="H50" s="38"/>
      <c r="I50" s="38"/>
      <c r="J50" s="38"/>
      <c r="K50" s="38"/>
      <c r="L50" s="38"/>
      <c r="M50" s="38"/>
      <c r="N50" s="38"/>
      <c r="O50" s="38"/>
      <c r="P50" s="38"/>
      <c r="Q50" s="38"/>
      <c r="R50" s="38"/>
      <c r="S50" s="38"/>
      <c r="T50" s="38"/>
      <c r="U50" s="38"/>
      <c r="V50" s="38"/>
      <c r="W50" s="38"/>
      <c r="X50" s="38"/>
      <c r="Y50" s="38"/>
      <c r="Z50" s="38"/>
      <c r="AA50" s="38"/>
      <c r="AB50" s="38"/>
      <c r="AC50" s="38"/>
      <c r="AD50" s="38"/>
      <c r="AE50" s="38"/>
      <c r="AF50" s="38"/>
      <c r="AG50" s="38"/>
      <c r="AH50" s="38"/>
      <c r="AI50" s="38"/>
      <c r="AJ50" s="38"/>
      <c r="AK50" s="38"/>
      <c r="AL50" s="38"/>
      <c r="AM50" s="38"/>
      <c r="AN50" s="38"/>
      <c r="AO50" s="38"/>
      <c r="AP50" s="38"/>
      <c r="AQ50" s="38"/>
      <c r="AR50" s="38"/>
      <c r="AS50" s="38"/>
    </row>
    <row r="51" spans="1:45" ht="15" x14ac:dyDescent="0.25">
      <c r="A51" s="38"/>
      <c r="B51" s="38"/>
      <c r="C51" s="38"/>
      <c r="D51" s="38"/>
      <c r="E51" s="38"/>
      <c r="F51" s="38"/>
      <c r="G51" s="38"/>
      <c r="H51" s="38"/>
      <c r="I51" s="38"/>
      <c r="J51" s="38"/>
      <c r="K51" s="38"/>
      <c r="L51" s="38"/>
      <c r="M51" s="38"/>
      <c r="N51" s="38"/>
      <c r="O51" s="38"/>
      <c r="P51" s="38"/>
      <c r="Q51" s="38"/>
      <c r="R51" s="38"/>
      <c r="S51" s="38"/>
      <c r="T51" s="38"/>
      <c r="U51" s="38"/>
      <c r="V51" s="38"/>
      <c r="W51" s="38"/>
      <c r="X51" s="38"/>
      <c r="Y51" s="38"/>
      <c r="Z51" s="38"/>
      <c r="AA51" s="38"/>
      <c r="AB51" s="38"/>
      <c r="AC51" s="38"/>
      <c r="AD51" s="38"/>
      <c r="AE51" s="38"/>
      <c r="AF51" s="38"/>
      <c r="AG51" s="38"/>
      <c r="AH51" s="38"/>
      <c r="AI51" s="38"/>
      <c r="AJ51" s="38"/>
      <c r="AK51" s="38"/>
      <c r="AL51" s="38"/>
      <c r="AM51" s="38"/>
      <c r="AN51" s="38"/>
      <c r="AO51" s="38"/>
      <c r="AP51" s="38"/>
      <c r="AQ51" s="38"/>
      <c r="AR51" s="38"/>
      <c r="AS51" s="38"/>
    </row>
    <row r="52" spans="1:45" ht="15" x14ac:dyDescent="0.25">
      <c r="A52" s="38"/>
      <c r="B52" s="38"/>
      <c r="C52" s="38"/>
      <c r="D52" s="38"/>
      <c r="E52" s="38"/>
      <c r="F52" s="38"/>
      <c r="G52" s="38"/>
      <c r="H52" s="38"/>
      <c r="I52" s="38"/>
      <c r="J52" s="38"/>
      <c r="K52" s="38"/>
      <c r="L52" s="38"/>
      <c r="M52" s="38"/>
      <c r="N52" s="38"/>
      <c r="O52" s="38"/>
      <c r="P52" s="38"/>
      <c r="Q52" s="38"/>
      <c r="R52" s="38"/>
      <c r="S52" s="38"/>
      <c r="T52" s="38"/>
      <c r="U52" s="38"/>
      <c r="V52" s="38"/>
      <c r="W52" s="38"/>
      <c r="X52" s="38"/>
      <c r="Y52" s="38"/>
      <c r="Z52" s="38"/>
      <c r="AA52" s="38"/>
      <c r="AB52" s="38"/>
      <c r="AC52" s="38"/>
      <c r="AD52" s="38"/>
      <c r="AE52" s="38"/>
      <c r="AF52" s="38"/>
      <c r="AG52" s="38"/>
      <c r="AH52" s="38"/>
      <c r="AI52" s="38"/>
      <c r="AJ52" s="38"/>
      <c r="AK52" s="38"/>
      <c r="AL52" s="38"/>
      <c r="AM52" s="38"/>
      <c r="AN52" s="38"/>
      <c r="AO52" s="38"/>
      <c r="AP52" s="38"/>
      <c r="AQ52" s="38"/>
      <c r="AR52" s="38"/>
      <c r="AS52" s="38"/>
    </row>
    <row r="53" spans="1:45" ht="15" x14ac:dyDescent="0.25">
      <c r="A53" s="38"/>
      <c r="B53" s="38"/>
      <c r="C53" s="38"/>
      <c r="D53" s="38"/>
      <c r="E53" s="38"/>
      <c r="F53" s="38"/>
      <c r="G53" s="38"/>
      <c r="H53" s="38"/>
      <c r="I53" s="38"/>
      <c r="J53" s="38"/>
      <c r="K53" s="38"/>
      <c r="L53" s="38"/>
      <c r="M53" s="38"/>
      <c r="N53" s="38"/>
      <c r="O53" s="38"/>
      <c r="P53" s="38"/>
      <c r="Q53" s="38"/>
      <c r="R53" s="38"/>
      <c r="S53" s="38"/>
      <c r="T53" s="38"/>
      <c r="U53" s="38"/>
      <c r="V53" s="38"/>
      <c r="W53" s="38"/>
      <c r="X53" s="38"/>
      <c r="Y53" s="38"/>
      <c r="Z53" s="38"/>
      <c r="AA53" s="38"/>
      <c r="AB53" s="38"/>
      <c r="AC53" s="38"/>
      <c r="AD53" s="38"/>
      <c r="AE53" s="38"/>
      <c r="AF53" s="38"/>
      <c r="AG53" s="38"/>
      <c r="AH53" s="38"/>
      <c r="AI53" s="38"/>
      <c r="AJ53" s="38"/>
      <c r="AK53" s="38"/>
      <c r="AL53" s="38"/>
      <c r="AM53" s="38"/>
      <c r="AN53" s="38"/>
      <c r="AO53" s="38"/>
      <c r="AP53" s="38"/>
      <c r="AQ53" s="38"/>
      <c r="AR53" s="38"/>
      <c r="AS53" s="38"/>
    </row>
    <row r="54" spans="1:45" ht="15" x14ac:dyDescent="0.25">
      <c r="A54" s="38"/>
      <c r="B54" s="38"/>
      <c r="C54" s="38"/>
      <c r="D54" s="38"/>
      <c r="E54" s="38"/>
      <c r="F54" s="38"/>
      <c r="G54" s="38"/>
      <c r="H54" s="38"/>
      <c r="I54" s="38"/>
      <c r="J54" s="38"/>
      <c r="K54" s="38"/>
      <c r="L54" s="38"/>
      <c r="M54" s="38"/>
      <c r="N54" s="38"/>
      <c r="O54" s="38"/>
      <c r="P54" s="38"/>
      <c r="Q54" s="38"/>
      <c r="R54" s="38"/>
      <c r="S54" s="38"/>
      <c r="T54" s="38"/>
      <c r="U54" s="38"/>
      <c r="V54" s="38"/>
      <c r="W54" s="38"/>
      <c r="X54" s="38"/>
      <c r="Y54" s="38"/>
      <c r="Z54" s="38"/>
      <c r="AA54" s="38"/>
      <c r="AB54" s="38"/>
      <c r="AC54" s="38"/>
      <c r="AD54" s="38"/>
      <c r="AE54" s="38"/>
      <c r="AF54" s="38"/>
      <c r="AG54" s="38"/>
      <c r="AH54" s="38"/>
      <c r="AI54" s="38"/>
      <c r="AJ54" s="38"/>
      <c r="AK54" s="38"/>
      <c r="AL54" s="38"/>
      <c r="AM54" s="38"/>
      <c r="AN54" s="38"/>
      <c r="AO54" s="38"/>
      <c r="AP54" s="38"/>
      <c r="AQ54" s="38"/>
      <c r="AR54" s="38"/>
      <c r="AS54" s="38"/>
    </row>
    <row r="55" spans="1:45" ht="15" x14ac:dyDescent="0.25">
      <c r="A55" s="38"/>
      <c r="B55" s="38"/>
      <c r="C55" s="38"/>
      <c r="D55" s="38"/>
      <c r="E55" s="38"/>
      <c r="F55" s="38"/>
      <c r="G55" s="38"/>
      <c r="H55" s="38"/>
      <c r="I55" s="38"/>
      <c r="J55" s="38"/>
      <c r="K55" s="38"/>
      <c r="L55" s="38"/>
      <c r="M55" s="38"/>
      <c r="N55" s="38"/>
      <c r="O55" s="38"/>
      <c r="P55" s="38"/>
      <c r="Q55" s="38"/>
      <c r="R55" s="38"/>
      <c r="S55" s="38"/>
      <c r="T55" s="38"/>
      <c r="U55" s="38"/>
      <c r="V55" s="38"/>
      <c r="W55" s="38"/>
      <c r="X55" s="38"/>
      <c r="Y55" s="38"/>
      <c r="Z55" s="38"/>
      <c r="AA55" s="38"/>
      <c r="AB55" s="38"/>
      <c r="AC55" s="38"/>
      <c r="AD55" s="38"/>
      <c r="AE55" s="38"/>
      <c r="AF55" s="38"/>
      <c r="AG55" s="38"/>
      <c r="AH55" s="38"/>
      <c r="AI55" s="38"/>
      <c r="AJ55" s="38"/>
      <c r="AK55" s="38"/>
      <c r="AL55" s="38"/>
      <c r="AM55" s="38"/>
      <c r="AN55" s="38"/>
      <c r="AO55" s="38"/>
      <c r="AP55" s="38"/>
      <c r="AQ55" s="38"/>
      <c r="AR55" s="38"/>
      <c r="AS55" s="38"/>
    </row>
    <row r="56" spans="1:45" ht="15" x14ac:dyDescent="0.25">
      <c r="A56" s="38"/>
      <c r="B56" s="38"/>
      <c r="C56" s="38"/>
      <c r="D56" s="38"/>
      <c r="E56" s="38"/>
      <c r="F56" s="38"/>
      <c r="G56" s="38"/>
      <c r="H56" s="38"/>
      <c r="I56" s="38"/>
      <c r="J56" s="38"/>
      <c r="K56" s="38"/>
      <c r="L56" s="38"/>
      <c r="M56" s="38"/>
      <c r="N56" s="38"/>
      <c r="O56" s="38"/>
      <c r="P56" s="38"/>
      <c r="Q56" s="38"/>
      <c r="R56" s="38"/>
      <c r="S56" s="38"/>
      <c r="T56" s="38"/>
      <c r="U56" s="38"/>
      <c r="V56" s="38"/>
      <c r="W56" s="38"/>
      <c r="X56" s="38"/>
      <c r="Y56" s="38"/>
      <c r="Z56" s="38"/>
      <c r="AA56" s="38"/>
      <c r="AB56" s="38"/>
      <c r="AC56" s="38"/>
      <c r="AD56" s="38"/>
      <c r="AE56" s="38"/>
      <c r="AF56" s="38"/>
      <c r="AG56" s="38"/>
      <c r="AH56" s="38"/>
      <c r="AI56" s="38"/>
      <c r="AJ56" s="38"/>
      <c r="AK56" s="38"/>
      <c r="AL56" s="38"/>
      <c r="AM56" s="38"/>
      <c r="AN56" s="38"/>
      <c r="AO56" s="38"/>
      <c r="AP56" s="38"/>
      <c r="AQ56" s="38"/>
      <c r="AR56" s="38"/>
      <c r="AS56" s="38"/>
    </row>
    <row r="57" spans="1:45" ht="15" x14ac:dyDescent="0.25">
      <c r="A57" s="38"/>
      <c r="B57" s="38"/>
      <c r="C57" s="38"/>
      <c r="D57" s="38"/>
      <c r="E57" s="38"/>
      <c r="F57" s="38"/>
      <c r="G57" s="38"/>
      <c r="H57" s="38"/>
      <c r="I57" s="38"/>
      <c r="J57" s="38"/>
      <c r="K57" s="38"/>
      <c r="L57" s="38"/>
      <c r="M57" s="38"/>
      <c r="N57" s="38"/>
      <c r="O57" s="38"/>
      <c r="P57" s="38"/>
      <c r="Q57" s="38"/>
      <c r="R57" s="38"/>
      <c r="S57" s="38"/>
      <c r="T57" s="38"/>
      <c r="U57" s="38"/>
      <c r="V57" s="38"/>
      <c r="W57" s="38"/>
      <c r="X57" s="38"/>
      <c r="Y57" s="38"/>
      <c r="Z57" s="38"/>
      <c r="AA57" s="38"/>
      <c r="AB57" s="38"/>
      <c r="AC57" s="38"/>
      <c r="AD57" s="38"/>
      <c r="AE57" s="38"/>
      <c r="AF57" s="38"/>
      <c r="AG57" s="38"/>
      <c r="AH57" s="38"/>
      <c r="AI57" s="38"/>
      <c r="AJ57" s="38"/>
      <c r="AK57" s="38"/>
      <c r="AL57" s="38"/>
      <c r="AM57" s="38"/>
      <c r="AN57" s="38"/>
      <c r="AO57" s="38"/>
      <c r="AP57" s="38"/>
      <c r="AQ57" s="38"/>
      <c r="AR57" s="38"/>
      <c r="AS57" s="38"/>
    </row>
    <row r="58" spans="1:45" ht="15" x14ac:dyDescent="0.25">
      <c r="A58" s="38"/>
      <c r="B58" s="38"/>
      <c r="C58" s="38"/>
      <c r="D58" s="38"/>
      <c r="E58" s="38"/>
      <c r="F58" s="38"/>
      <c r="G58" s="38"/>
      <c r="H58" s="38"/>
      <c r="I58" s="38"/>
      <c r="J58" s="38"/>
      <c r="K58" s="38"/>
      <c r="L58" s="38"/>
      <c r="M58" s="38"/>
      <c r="N58" s="38"/>
      <c r="O58" s="38"/>
      <c r="P58" s="38"/>
      <c r="Q58" s="38"/>
      <c r="R58" s="38"/>
      <c r="S58" s="38"/>
      <c r="T58" s="38"/>
      <c r="U58" s="38"/>
      <c r="V58" s="38"/>
      <c r="W58" s="38"/>
      <c r="X58" s="38"/>
      <c r="Y58" s="38"/>
      <c r="Z58" s="38"/>
      <c r="AA58" s="38"/>
      <c r="AB58" s="38"/>
      <c r="AC58" s="38"/>
      <c r="AD58" s="38"/>
      <c r="AE58" s="38"/>
      <c r="AF58" s="38"/>
      <c r="AG58" s="38"/>
      <c r="AH58" s="38"/>
      <c r="AI58" s="38"/>
      <c r="AJ58" s="38"/>
      <c r="AK58" s="38"/>
      <c r="AL58" s="38"/>
      <c r="AM58" s="38"/>
      <c r="AN58" s="38"/>
      <c r="AO58" s="38"/>
      <c r="AP58" s="38"/>
      <c r="AQ58" s="38"/>
      <c r="AR58" s="38"/>
      <c r="AS58" s="38"/>
    </row>
    <row r="59" spans="1:45" ht="15" x14ac:dyDescent="0.25">
      <c r="A59" s="38"/>
      <c r="B59" s="38"/>
      <c r="C59" s="38"/>
      <c r="D59" s="38"/>
      <c r="E59" s="38"/>
      <c r="F59" s="38"/>
      <c r="G59" s="38"/>
      <c r="H59" s="38"/>
      <c r="I59" s="38"/>
      <c r="J59" s="38"/>
      <c r="K59" s="38"/>
      <c r="L59" s="38"/>
      <c r="M59" s="38"/>
      <c r="N59" s="38"/>
      <c r="O59" s="38"/>
      <c r="P59" s="38"/>
      <c r="Q59" s="38"/>
      <c r="R59" s="38"/>
      <c r="S59" s="38"/>
      <c r="T59" s="38"/>
      <c r="U59" s="38"/>
      <c r="V59" s="38"/>
      <c r="W59" s="38"/>
      <c r="X59" s="38"/>
      <c r="Y59" s="38"/>
      <c r="Z59" s="38"/>
      <c r="AA59" s="38"/>
      <c r="AB59" s="38"/>
      <c r="AC59" s="38"/>
      <c r="AD59" s="38"/>
      <c r="AE59" s="38"/>
      <c r="AF59" s="38"/>
      <c r="AG59" s="38"/>
      <c r="AH59" s="38"/>
      <c r="AI59" s="38"/>
      <c r="AJ59" s="38"/>
      <c r="AK59" s="38"/>
      <c r="AL59" s="38"/>
      <c r="AM59" s="38"/>
      <c r="AN59" s="38"/>
      <c r="AO59" s="38"/>
      <c r="AP59" s="38"/>
      <c r="AQ59" s="38"/>
      <c r="AR59" s="38"/>
      <c r="AS59" s="38"/>
    </row>
    <row r="60" spans="1:45" ht="15" x14ac:dyDescent="0.25">
      <c r="A60" s="38"/>
      <c r="B60" s="38"/>
      <c r="C60" s="38"/>
      <c r="D60" s="38"/>
      <c r="E60" s="38"/>
      <c r="F60" s="38"/>
      <c r="G60" s="38"/>
      <c r="H60" s="38"/>
      <c r="I60" s="38"/>
      <c r="J60" s="38"/>
      <c r="K60" s="38"/>
      <c r="L60" s="38"/>
      <c r="M60" s="38"/>
      <c r="N60" s="38"/>
      <c r="O60" s="38"/>
      <c r="P60" s="38"/>
      <c r="Q60" s="38"/>
      <c r="R60" s="38"/>
      <c r="S60" s="38"/>
      <c r="T60" s="38"/>
      <c r="U60" s="38"/>
      <c r="V60" s="38"/>
      <c r="W60" s="38"/>
      <c r="X60" s="38"/>
      <c r="Y60" s="38"/>
      <c r="Z60" s="38"/>
      <c r="AA60" s="38"/>
      <c r="AB60" s="38"/>
      <c r="AC60" s="38"/>
      <c r="AD60" s="38"/>
      <c r="AE60" s="38"/>
      <c r="AF60" s="38"/>
      <c r="AG60" s="38"/>
      <c r="AH60" s="38"/>
      <c r="AI60" s="38"/>
      <c r="AJ60" s="38"/>
      <c r="AK60" s="38"/>
      <c r="AL60" s="38"/>
      <c r="AM60" s="38"/>
      <c r="AN60" s="38"/>
      <c r="AO60" s="38"/>
      <c r="AP60" s="38"/>
      <c r="AQ60" s="38"/>
      <c r="AR60" s="38"/>
      <c r="AS60" s="38"/>
    </row>
    <row r="61" spans="1:45" ht="15" x14ac:dyDescent="0.25">
      <c r="A61" s="38"/>
      <c r="B61" s="38"/>
      <c r="C61" s="38"/>
      <c r="D61" s="38"/>
      <c r="E61" s="38"/>
      <c r="F61" s="38"/>
      <c r="G61" s="38"/>
      <c r="H61" s="38"/>
      <c r="I61" s="38"/>
      <c r="J61" s="38"/>
      <c r="K61" s="38"/>
      <c r="L61" s="38"/>
      <c r="M61" s="38"/>
      <c r="N61" s="38"/>
      <c r="O61" s="38"/>
      <c r="P61" s="38"/>
      <c r="Q61" s="38"/>
      <c r="R61" s="38"/>
      <c r="S61" s="38"/>
      <c r="T61" s="38"/>
      <c r="U61" s="38"/>
      <c r="V61" s="38"/>
      <c r="W61" s="38"/>
      <c r="X61" s="38"/>
      <c r="Y61" s="38"/>
      <c r="Z61" s="38"/>
      <c r="AA61" s="38"/>
      <c r="AB61" s="38"/>
      <c r="AC61" s="38"/>
      <c r="AD61" s="38"/>
      <c r="AE61" s="38"/>
      <c r="AF61" s="38"/>
      <c r="AG61" s="38"/>
      <c r="AH61" s="38"/>
      <c r="AI61" s="38"/>
      <c r="AJ61" s="38"/>
      <c r="AK61" s="38"/>
      <c r="AL61" s="38"/>
      <c r="AM61" s="38"/>
      <c r="AN61" s="38"/>
      <c r="AO61" s="38"/>
      <c r="AP61" s="38"/>
      <c r="AQ61" s="38"/>
      <c r="AR61" s="38"/>
      <c r="AS61" s="38"/>
    </row>
    <row r="62" spans="1:45" ht="15" x14ac:dyDescent="0.25">
      <c r="A62" s="38"/>
      <c r="B62" s="38"/>
      <c r="C62" s="38"/>
      <c r="D62" s="38"/>
      <c r="E62" s="38"/>
      <c r="F62" s="38"/>
      <c r="G62" s="38"/>
      <c r="H62" s="38"/>
      <c r="I62" s="38"/>
      <c r="J62" s="38"/>
      <c r="K62" s="38"/>
      <c r="L62" s="38"/>
      <c r="M62" s="38"/>
      <c r="N62" s="38"/>
      <c r="O62" s="38"/>
      <c r="P62" s="38"/>
      <c r="Q62" s="38"/>
      <c r="R62" s="38"/>
      <c r="S62" s="38"/>
      <c r="T62" s="38"/>
      <c r="U62" s="38"/>
      <c r="V62" s="38"/>
      <c r="W62" s="38"/>
      <c r="X62" s="38"/>
      <c r="Y62" s="38"/>
      <c r="Z62" s="38"/>
      <c r="AA62" s="38"/>
      <c r="AB62" s="38"/>
      <c r="AC62" s="38"/>
      <c r="AD62" s="38"/>
      <c r="AE62" s="38"/>
      <c r="AF62" s="38"/>
      <c r="AG62" s="38"/>
      <c r="AH62" s="38"/>
      <c r="AI62" s="38"/>
      <c r="AJ62" s="38"/>
      <c r="AK62" s="38"/>
      <c r="AL62" s="38"/>
      <c r="AM62" s="38"/>
      <c r="AN62" s="38"/>
      <c r="AO62" s="38"/>
      <c r="AP62" s="38"/>
      <c r="AQ62" s="38"/>
      <c r="AR62" s="38"/>
      <c r="AS62" s="38"/>
    </row>
    <row r="63" spans="1:45" ht="15" x14ac:dyDescent="0.25">
      <c r="A63" s="38"/>
      <c r="B63" s="38"/>
      <c r="C63" s="38"/>
      <c r="D63" s="38"/>
      <c r="E63" s="38"/>
      <c r="F63" s="38"/>
      <c r="G63" s="38"/>
      <c r="H63" s="38"/>
      <c r="I63" s="38"/>
      <c r="J63" s="38"/>
      <c r="K63" s="38"/>
      <c r="L63" s="38"/>
      <c r="M63" s="38"/>
      <c r="N63" s="38"/>
      <c r="O63" s="38"/>
      <c r="P63" s="38"/>
      <c r="Q63" s="38"/>
      <c r="R63" s="38"/>
      <c r="S63" s="38"/>
      <c r="T63" s="38"/>
      <c r="U63" s="38"/>
      <c r="V63" s="38"/>
      <c r="W63" s="38"/>
      <c r="X63" s="38"/>
      <c r="Y63" s="38"/>
      <c r="Z63" s="38"/>
      <c r="AA63" s="38"/>
      <c r="AB63" s="38"/>
      <c r="AC63" s="38"/>
      <c r="AD63" s="38"/>
      <c r="AE63" s="38"/>
      <c r="AF63" s="38"/>
      <c r="AG63" s="38"/>
      <c r="AH63" s="38"/>
      <c r="AI63" s="38"/>
      <c r="AJ63" s="38"/>
      <c r="AK63" s="38"/>
      <c r="AL63" s="38"/>
      <c r="AM63" s="38"/>
      <c r="AN63" s="38"/>
      <c r="AO63" s="38"/>
      <c r="AP63" s="38"/>
      <c r="AQ63" s="38"/>
      <c r="AR63" s="38"/>
      <c r="AS63" s="38"/>
    </row>
    <row r="64" spans="1:45" ht="15" x14ac:dyDescent="0.25">
      <c r="A64" s="38"/>
      <c r="B64" s="38"/>
      <c r="C64" s="38"/>
      <c r="D64" s="38"/>
      <c r="E64" s="38"/>
      <c r="F64" s="38"/>
      <c r="G64" s="38"/>
      <c r="H64" s="38"/>
      <c r="I64" s="38"/>
      <c r="J64" s="38"/>
      <c r="K64" s="38"/>
      <c r="L64" s="38"/>
      <c r="M64" s="38"/>
      <c r="N64" s="38"/>
      <c r="O64" s="38"/>
      <c r="P64" s="38"/>
      <c r="Q64" s="38"/>
      <c r="R64" s="38"/>
      <c r="S64" s="38"/>
      <c r="T64" s="38"/>
      <c r="U64" s="38"/>
      <c r="V64" s="38"/>
      <c r="W64" s="38"/>
      <c r="X64" s="38"/>
      <c r="Y64" s="38"/>
      <c r="Z64" s="38"/>
      <c r="AA64" s="38"/>
      <c r="AB64" s="38"/>
      <c r="AC64" s="38"/>
      <c r="AD64" s="38"/>
      <c r="AE64" s="38"/>
      <c r="AF64" s="38"/>
      <c r="AG64" s="38"/>
      <c r="AH64" s="38"/>
      <c r="AI64" s="38"/>
      <c r="AJ64" s="38"/>
      <c r="AK64" s="38"/>
      <c r="AL64" s="38"/>
      <c r="AM64" s="38"/>
      <c r="AN64" s="38"/>
      <c r="AO64" s="38"/>
      <c r="AP64" s="38"/>
      <c r="AQ64" s="38"/>
      <c r="AR64" s="38"/>
      <c r="AS64" s="38"/>
    </row>
    <row r="65" spans="1:45" ht="15" x14ac:dyDescent="0.25">
      <c r="A65" s="38"/>
      <c r="B65" s="38"/>
      <c r="C65" s="38"/>
      <c r="D65" s="38"/>
      <c r="E65" s="38"/>
      <c r="F65" s="38"/>
      <c r="G65" s="38"/>
      <c r="H65" s="38"/>
      <c r="I65" s="38"/>
      <c r="J65" s="38"/>
      <c r="K65" s="38"/>
      <c r="L65" s="38"/>
      <c r="M65" s="38"/>
      <c r="N65" s="38"/>
      <c r="O65" s="38"/>
      <c r="P65" s="38"/>
      <c r="Q65" s="38"/>
      <c r="R65" s="38"/>
      <c r="S65" s="38"/>
      <c r="T65" s="38"/>
      <c r="U65" s="38"/>
      <c r="V65" s="38"/>
      <c r="W65" s="38"/>
      <c r="X65" s="38"/>
      <c r="Y65" s="38"/>
      <c r="Z65" s="38"/>
      <c r="AA65" s="38"/>
      <c r="AB65" s="38"/>
      <c r="AC65" s="38"/>
      <c r="AD65" s="38"/>
      <c r="AE65" s="38"/>
      <c r="AF65" s="38"/>
      <c r="AG65" s="38"/>
      <c r="AH65" s="38"/>
      <c r="AI65" s="38"/>
      <c r="AJ65" s="38"/>
      <c r="AK65" s="38"/>
      <c r="AL65" s="38"/>
      <c r="AM65" s="38"/>
      <c r="AN65" s="38"/>
      <c r="AO65" s="38"/>
      <c r="AP65" s="38"/>
      <c r="AQ65" s="38"/>
      <c r="AR65" s="38"/>
      <c r="AS65" s="38"/>
    </row>
    <row r="66" spans="1:45" ht="15" x14ac:dyDescent="0.25">
      <c r="A66" s="38"/>
      <c r="B66" s="38"/>
      <c r="C66" s="38"/>
      <c r="D66" s="38"/>
      <c r="E66" s="38"/>
      <c r="F66" s="38"/>
      <c r="G66" s="38"/>
      <c r="H66" s="38"/>
      <c r="I66" s="38"/>
      <c r="J66" s="38"/>
      <c r="K66" s="38"/>
      <c r="L66" s="38"/>
      <c r="M66" s="38"/>
      <c r="N66" s="38"/>
      <c r="O66" s="38"/>
      <c r="P66" s="38"/>
      <c r="Q66" s="38"/>
      <c r="R66" s="38"/>
      <c r="S66" s="38"/>
      <c r="T66" s="38"/>
      <c r="U66" s="38"/>
      <c r="V66" s="38"/>
      <c r="W66" s="38"/>
      <c r="X66" s="38"/>
      <c r="Y66" s="38"/>
      <c r="Z66" s="38"/>
      <c r="AA66" s="38"/>
      <c r="AB66" s="38"/>
      <c r="AC66" s="38"/>
      <c r="AD66" s="38"/>
      <c r="AE66" s="38"/>
      <c r="AF66" s="38"/>
      <c r="AG66" s="38"/>
      <c r="AH66" s="38"/>
      <c r="AI66" s="38"/>
      <c r="AJ66" s="38"/>
      <c r="AK66" s="38"/>
      <c r="AL66" s="38"/>
      <c r="AM66" s="38"/>
      <c r="AN66" s="38"/>
      <c r="AO66" s="38"/>
      <c r="AP66" s="38"/>
      <c r="AQ66" s="38"/>
      <c r="AR66" s="38"/>
      <c r="AS66" s="38"/>
    </row>
    <row r="67" spans="1:45" ht="15" x14ac:dyDescent="0.25">
      <c r="A67" s="38"/>
      <c r="B67" s="38"/>
      <c r="C67" s="38"/>
      <c r="D67" s="38"/>
      <c r="E67" s="38"/>
      <c r="F67" s="38"/>
      <c r="G67" s="38"/>
      <c r="H67" s="38"/>
      <c r="I67" s="38"/>
      <c r="J67" s="38"/>
      <c r="K67" s="38"/>
      <c r="L67" s="38"/>
      <c r="M67" s="38"/>
      <c r="N67" s="38"/>
      <c r="O67" s="38"/>
      <c r="P67" s="38"/>
      <c r="Q67" s="38"/>
      <c r="R67" s="38"/>
      <c r="S67" s="38"/>
      <c r="T67" s="38"/>
      <c r="U67" s="38"/>
      <c r="V67" s="38"/>
      <c r="W67" s="38"/>
      <c r="X67" s="38"/>
      <c r="Y67" s="38"/>
      <c r="Z67" s="38"/>
      <c r="AA67" s="38"/>
      <c r="AB67" s="38"/>
      <c r="AC67" s="38"/>
      <c r="AD67" s="38"/>
      <c r="AE67" s="38"/>
      <c r="AF67" s="38"/>
      <c r="AG67" s="38"/>
      <c r="AH67" s="38"/>
      <c r="AI67" s="38"/>
      <c r="AJ67" s="38"/>
      <c r="AK67" s="38"/>
      <c r="AL67" s="38"/>
      <c r="AM67" s="38"/>
      <c r="AN67" s="38"/>
      <c r="AO67" s="38"/>
      <c r="AP67" s="38"/>
      <c r="AQ67" s="38"/>
      <c r="AR67" s="38"/>
      <c r="AS67" s="38"/>
    </row>
    <row r="68" spans="1:45" ht="15" x14ac:dyDescent="0.25">
      <c r="A68" s="38"/>
      <c r="B68" s="38"/>
      <c r="C68" s="38"/>
      <c r="D68" s="38"/>
      <c r="E68" s="38"/>
      <c r="F68" s="38"/>
      <c r="G68" s="38"/>
      <c r="H68" s="38"/>
      <c r="I68" s="38"/>
      <c r="J68" s="38"/>
      <c r="K68" s="38"/>
      <c r="L68" s="38"/>
      <c r="M68" s="38"/>
      <c r="N68" s="38"/>
      <c r="O68" s="38"/>
      <c r="P68" s="38"/>
      <c r="Q68" s="38"/>
      <c r="R68" s="38"/>
      <c r="S68" s="38"/>
      <c r="T68" s="38"/>
      <c r="U68" s="38"/>
      <c r="V68" s="38"/>
      <c r="W68" s="38"/>
      <c r="X68" s="38"/>
      <c r="Y68" s="38"/>
      <c r="Z68" s="38"/>
      <c r="AA68" s="38"/>
      <c r="AB68" s="38"/>
      <c r="AC68" s="38"/>
      <c r="AD68" s="38"/>
      <c r="AE68" s="38"/>
      <c r="AF68" s="38"/>
      <c r="AG68" s="38"/>
      <c r="AH68" s="38"/>
      <c r="AI68" s="38"/>
      <c r="AJ68" s="38"/>
      <c r="AK68" s="38"/>
      <c r="AL68" s="38"/>
      <c r="AM68" s="38"/>
      <c r="AN68" s="38"/>
      <c r="AO68" s="38"/>
      <c r="AP68" s="38"/>
      <c r="AQ68" s="38"/>
      <c r="AR68" s="38"/>
      <c r="AS68" s="38"/>
    </row>
    <row r="69" spans="1:45" ht="15" x14ac:dyDescent="0.25">
      <c r="A69" s="38"/>
      <c r="B69" s="38"/>
      <c r="C69" s="38"/>
      <c r="D69" s="38"/>
      <c r="E69" s="38"/>
      <c r="F69" s="38"/>
      <c r="G69" s="38"/>
      <c r="H69" s="38"/>
      <c r="I69" s="38"/>
      <c r="J69" s="38"/>
      <c r="K69" s="38"/>
      <c r="L69" s="38"/>
      <c r="M69" s="38"/>
      <c r="N69" s="38"/>
      <c r="O69" s="38"/>
      <c r="P69" s="38"/>
      <c r="Q69" s="38"/>
      <c r="R69" s="38"/>
      <c r="S69" s="38"/>
      <c r="T69" s="38"/>
      <c r="U69" s="38"/>
      <c r="V69" s="38"/>
      <c r="W69" s="38"/>
      <c r="X69" s="38"/>
      <c r="Y69" s="38"/>
      <c r="Z69" s="38"/>
      <c r="AA69" s="38"/>
      <c r="AB69" s="38"/>
      <c r="AC69" s="38"/>
      <c r="AD69" s="38"/>
      <c r="AE69" s="38"/>
      <c r="AF69" s="38"/>
      <c r="AG69" s="38"/>
      <c r="AH69" s="38"/>
      <c r="AI69" s="38"/>
      <c r="AJ69" s="38"/>
      <c r="AK69" s="38"/>
      <c r="AL69" s="38"/>
      <c r="AM69" s="38"/>
      <c r="AN69" s="38"/>
      <c r="AO69" s="38"/>
      <c r="AP69" s="38"/>
      <c r="AQ69" s="38"/>
      <c r="AR69" s="38"/>
      <c r="AS69" s="38"/>
    </row>
    <row r="70" spans="1:45" ht="15" x14ac:dyDescent="0.25">
      <c r="A70" s="38"/>
      <c r="B70" s="38"/>
      <c r="C70" s="38"/>
      <c r="D70" s="38"/>
      <c r="E70" s="38"/>
      <c r="F70" s="38"/>
      <c r="G70" s="38"/>
      <c r="H70" s="38"/>
      <c r="I70" s="38"/>
      <c r="J70" s="38"/>
      <c r="K70" s="38"/>
      <c r="L70" s="38"/>
      <c r="M70" s="38"/>
      <c r="N70" s="38"/>
      <c r="O70" s="38"/>
      <c r="P70" s="38"/>
      <c r="Q70" s="38"/>
      <c r="R70" s="38"/>
      <c r="S70" s="38"/>
      <c r="T70" s="38"/>
      <c r="U70" s="38"/>
      <c r="V70" s="38"/>
      <c r="W70" s="38"/>
      <c r="X70" s="38"/>
      <c r="Y70" s="38"/>
      <c r="Z70" s="38"/>
      <c r="AA70" s="38"/>
      <c r="AB70" s="38"/>
      <c r="AC70" s="38"/>
      <c r="AD70" s="38"/>
      <c r="AE70" s="38"/>
      <c r="AF70" s="38"/>
      <c r="AG70" s="38"/>
      <c r="AH70" s="38"/>
      <c r="AI70" s="38"/>
      <c r="AJ70" s="38"/>
      <c r="AK70" s="38"/>
      <c r="AL70" s="38"/>
      <c r="AM70" s="38"/>
      <c r="AN70" s="38"/>
      <c r="AO70" s="38"/>
      <c r="AP70" s="38"/>
      <c r="AQ70" s="38"/>
      <c r="AR70" s="38"/>
      <c r="AS70" s="38"/>
    </row>
    <row r="71" spans="1:45" ht="15" x14ac:dyDescent="0.25">
      <c r="A71" s="38"/>
      <c r="B71" s="38"/>
      <c r="C71" s="38"/>
      <c r="D71" s="38"/>
      <c r="E71" s="38"/>
      <c r="F71" s="38"/>
      <c r="G71" s="38"/>
      <c r="H71" s="38"/>
      <c r="I71" s="38"/>
      <c r="J71" s="38"/>
      <c r="K71" s="38"/>
      <c r="L71" s="38"/>
      <c r="M71" s="38"/>
      <c r="N71" s="38"/>
      <c r="O71" s="38"/>
      <c r="P71" s="38"/>
      <c r="Q71" s="38"/>
      <c r="R71" s="38"/>
      <c r="S71" s="38"/>
      <c r="T71" s="38"/>
      <c r="U71" s="38"/>
      <c r="V71" s="38"/>
      <c r="W71" s="38"/>
      <c r="X71" s="38"/>
      <c r="Y71" s="38"/>
      <c r="Z71" s="38"/>
      <c r="AA71" s="38"/>
      <c r="AB71" s="38"/>
      <c r="AC71" s="38"/>
      <c r="AD71" s="38"/>
      <c r="AE71" s="38"/>
      <c r="AF71" s="38"/>
      <c r="AG71" s="38"/>
      <c r="AH71" s="38"/>
      <c r="AI71" s="38"/>
      <c r="AJ71" s="38"/>
      <c r="AK71" s="38"/>
      <c r="AL71" s="38"/>
      <c r="AM71" s="38"/>
      <c r="AN71" s="38"/>
      <c r="AO71" s="38"/>
      <c r="AP71" s="38"/>
      <c r="AQ71" s="38"/>
      <c r="AR71" s="38"/>
      <c r="AS71" s="38"/>
    </row>
    <row r="72" spans="1:45" ht="15" x14ac:dyDescent="0.25">
      <c r="A72" s="38"/>
      <c r="B72" s="38"/>
      <c r="C72" s="38"/>
      <c r="D72" s="38"/>
      <c r="E72" s="38"/>
      <c r="F72" s="38"/>
      <c r="G72" s="38"/>
      <c r="H72" s="38"/>
      <c r="I72" s="38"/>
      <c r="J72" s="38"/>
      <c r="K72" s="38"/>
      <c r="L72" s="38"/>
      <c r="M72" s="38"/>
      <c r="N72" s="38"/>
      <c r="O72" s="38"/>
      <c r="P72" s="38"/>
      <c r="Q72" s="38"/>
      <c r="R72" s="38"/>
      <c r="S72" s="38"/>
      <c r="T72" s="38"/>
      <c r="U72" s="38"/>
      <c r="V72" s="38"/>
      <c r="W72" s="38"/>
      <c r="X72" s="38"/>
      <c r="Y72" s="38"/>
      <c r="Z72" s="38"/>
      <c r="AA72" s="38"/>
      <c r="AB72" s="38"/>
      <c r="AC72" s="38"/>
      <c r="AD72" s="38"/>
      <c r="AE72" s="38"/>
      <c r="AF72" s="38"/>
      <c r="AG72" s="38"/>
      <c r="AH72" s="38"/>
      <c r="AI72" s="38"/>
      <c r="AJ72" s="38"/>
      <c r="AK72" s="38"/>
      <c r="AL72" s="38"/>
      <c r="AM72" s="38"/>
      <c r="AN72" s="38"/>
      <c r="AO72" s="38"/>
      <c r="AP72" s="38"/>
      <c r="AQ72" s="38"/>
      <c r="AR72" s="38"/>
      <c r="AS72" s="38"/>
    </row>
    <row r="73" spans="1:45" ht="15" x14ac:dyDescent="0.25">
      <c r="A73" s="38"/>
      <c r="B73" s="38"/>
      <c r="C73" s="38"/>
      <c r="D73" s="38"/>
      <c r="E73" s="38"/>
      <c r="F73" s="38"/>
      <c r="G73" s="38"/>
      <c r="H73" s="38"/>
      <c r="I73" s="38"/>
      <c r="J73" s="38"/>
      <c r="K73" s="38"/>
      <c r="L73" s="38"/>
      <c r="M73" s="38"/>
      <c r="N73" s="38"/>
      <c r="O73" s="38"/>
      <c r="P73" s="38"/>
      <c r="Q73" s="38"/>
      <c r="R73" s="38"/>
      <c r="S73" s="38"/>
      <c r="T73" s="38"/>
      <c r="U73" s="38"/>
      <c r="V73" s="38"/>
      <c r="W73" s="38"/>
      <c r="X73" s="38"/>
      <c r="Y73" s="38"/>
      <c r="Z73" s="38"/>
      <c r="AA73" s="38"/>
      <c r="AB73" s="38"/>
      <c r="AC73" s="38"/>
      <c r="AD73" s="38"/>
      <c r="AE73" s="38"/>
      <c r="AF73" s="38"/>
      <c r="AG73" s="38"/>
      <c r="AH73" s="38"/>
      <c r="AI73" s="38"/>
      <c r="AJ73" s="38"/>
      <c r="AK73" s="38"/>
      <c r="AL73" s="38"/>
      <c r="AM73" s="38"/>
      <c r="AN73" s="38"/>
      <c r="AO73" s="38"/>
      <c r="AP73" s="38"/>
      <c r="AQ73" s="38"/>
      <c r="AR73" s="38"/>
      <c r="AS73" s="38"/>
    </row>
    <row r="74" spans="1:45" ht="15" x14ac:dyDescent="0.25">
      <c r="A74" s="38"/>
      <c r="B74" s="38"/>
      <c r="C74" s="38"/>
      <c r="D74" s="38"/>
      <c r="E74" s="38"/>
      <c r="F74" s="38"/>
      <c r="G74" s="38"/>
      <c r="H74" s="38"/>
      <c r="I74" s="38"/>
      <c r="J74" s="38"/>
      <c r="K74" s="38"/>
      <c r="L74" s="38"/>
      <c r="M74" s="38"/>
      <c r="N74" s="38"/>
      <c r="O74" s="38"/>
      <c r="P74" s="38"/>
      <c r="Q74" s="38"/>
      <c r="R74" s="38"/>
      <c r="S74" s="38"/>
      <c r="T74" s="38"/>
      <c r="U74" s="38"/>
      <c r="V74" s="38"/>
      <c r="W74" s="38"/>
      <c r="X74" s="38"/>
      <c r="Y74" s="38"/>
      <c r="Z74" s="38"/>
      <c r="AA74" s="38"/>
      <c r="AB74" s="38"/>
      <c r="AC74" s="38"/>
      <c r="AD74" s="38"/>
      <c r="AE74" s="38"/>
      <c r="AF74" s="38"/>
      <c r="AG74" s="38"/>
      <c r="AH74" s="38"/>
      <c r="AI74" s="38"/>
      <c r="AJ74" s="38"/>
      <c r="AK74" s="38"/>
      <c r="AL74" s="38"/>
      <c r="AM74" s="38"/>
      <c r="AN74" s="38"/>
      <c r="AO74" s="38"/>
      <c r="AP74" s="38"/>
      <c r="AQ74" s="38"/>
      <c r="AR74" s="38"/>
      <c r="AS74" s="38"/>
    </row>
    <row r="75" spans="1:45" ht="15" x14ac:dyDescent="0.25">
      <c r="A75" s="38"/>
      <c r="B75" s="38"/>
      <c r="C75" s="38"/>
      <c r="D75" s="38"/>
      <c r="E75" s="38"/>
      <c r="F75" s="38"/>
      <c r="G75" s="38"/>
      <c r="H75" s="38"/>
      <c r="I75" s="38"/>
      <c r="J75" s="38"/>
      <c r="K75" s="38"/>
      <c r="L75" s="38"/>
      <c r="M75" s="38"/>
      <c r="N75" s="38"/>
      <c r="O75" s="38"/>
      <c r="P75" s="38"/>
      <c r="Q75" s="38"/>
      <c r="R75" s="38"/>
      <c r="S75" s="38"/>
      <c r="T75" s="38"/>
      <c r="U75" s="38"/>
      <c r="V75" s="38"/>
      <c r="W75" s="38"/>
      <c r="X75" s="38"/>
      <c r="Y75" s="38"/>
      <c r="Z75" s="38"/>
      <c r="AA75" s="38"/>
      <c r="AB75" s="38"/>
      <c r="AC75" s="38"/>
      <c r="AD75" s="38"/>
      <c r="AE75" s="38"/>
      <c r="AF75" s="38"/>
      <c r="AG75" s="38"/>
      <c r="AH75" s="38"/>
      <c r="AI75" s="38"/>
      <c r="AJ75" s="38"/>
      <c r="AK75" s="38"/>
      <c r="AL75" s="38"/>
      <c r="AM75" s="38"/>
      <c r="AN75" s="38"/>
      <c r="AO75" s="38"/>
      <c r="AP75" s="38"/>
      <c r="AQ75" s="38"/>
      <c r="AR75" s="38"/>
      <c r="AS75" s="38"/>
    </row>
    <row r="76" spans="1:45" ht="15" x14ac:dyDescent="0.25">
      <c r="A76" s="38"/>
      <c r="B76" s="38"/>
      <c r="C76" s="38"/>
      <c r="D76" s="38"/>
      <c r="E76" s="38"/>
      <c r="F76" s="38"/>
      <c r="G76" s="38"/>
      <c r="H76" s="38"/>
      <c r="I76" s="38"/>
      <c r="J76" s="38"/>
      <c r="K76" s="38"/>
      <c r="L76" s="38"/>
      <c r="M76" s="38"/>
      <c r="N76" s="38"/>
      <c r="O76" s="38"/>
      <c r="P76" s="38"/>
      <c r="Q76" s="38"/>
      <c r="R76" s="38"/>
      <c r="S76" s="38"/>
      <c r="T76" s="38"/>
      <c r="U76" s="38"/>
      <c r="V76" s="38"/>
      <c r="W76" s="38"/>
      <c r="X76" s="38"/>
      <c r="Y76" s="38"/>
      <c r="Z76" s="38"/>
      <c r="AA76" s="38"/>
      <c r="AB76" s="38"/>
      <c r="AC76" s="38"/>
      <c r="AD76" s="38"/>
      <c r="AE76" s="38"/>
      <c r="AF76" s="38"/>
      <c r="AG76" s="38"/>
      <c r="AH76" s="38"/>
      <c r="AI76" s="38"/>
      <c r="AJ76" s="38"/>
      <c r="AK76" s="38"/>
      <c r="AL76" s="38"/>
      <c r="AM76" s="38"/>
      <c r="AN76" s="38"/>
      <c r="AO76" s="38"/>
      <c r="AP76" s="38"/>
      <c r="AQ76" s="38"/>
      <c r="AR76" s="38"/>
      <c r="AS76" s="38"/>
    </row>
    <row r="77" spans="1:45" ht="15" x14ac:dyDescent="0.25">
      <c r="A77" s="38"/>
      <c r="B77" s="38"/>
      <c r="C77" s="38"/>
      <c r="D77" s="38"/>
      <c r="E77" s="38"/>
      <c r="F77" s="38"/>
      <c r="G77" s="38"/>
      <c r="H77" s="38"/>
      <c r="I77" s="38"/>
      <c r="J77" s="38"/>
      <c r="K77" s="38"/>
      <c r="L77" s="38"/>
      <c r="M77" s="38"/>
      <c r="N77" s="38"/>
      <c r="O77" s="38"/>
      <c r="P77" s="38"/>
      <c r="Q77" s="38"/>
      <c r="R77" s="38"/>
      <c r="S77" s="38"/>
      <c r="T77" s="38"/>
      <c r="U77" s="38"/>
      <c r="V77" s="38"/>
      <c r="W77" s="38"/>
      <c r="X77" s="38"/>
      <c r="Y77" s="38"/>
      <c r="Z77" s="38"/>
      <c r="AA77" s="38"/>
      <c r="AB77" s="38"/>
      <c r="AC77" s="38"/>
      <c r="AD77" s="38"/>
      <c r="AE77" s="38"/>
      <c r="AF77" s="38"/>
      <c r="AG77" s="38"/>
      <c r="AH77" s="38"/>
      <c r="AI77" s="38"/>
      <c r="AJ77" s="38"/>
      <c r="AK77" s="38"/>
      <c r="AL77" s="38"/>
      <c r="AM77" s="38"/>
      <c r="AN77" s="38"/>
      <c r="AO77" s="38"/>
      <c r="AP77" s="38"/>
      <c r="AQ77" s="38"/>
      <c r="AR77" s="38"/>
      <c r="AS77" s="38"/>
    </row>
    <row r="78" spans="1:45" ht="15" x14ac:dyDescent="0.25">
      <c r="A78" s="38"/>
      <c r="B78" s="38"/>
      <c r="C78" s="38"/>
      <c r="D78" s="38"/>
      <c r="E78" s="38"/>
      <c r="F78" s="38"/>
      <c r="G78" s="38"/>
      <c r="H78" s="38"/>
      <c r="I78" s="38"/>
      <c r="J78" s="38"/>
      <c r="K78" s="38"/>
      <c r="L78" s="38"/>
      <c r="M78" s="38"/>
      <c r="N78" s="38"/>
      <c r="O78" s="38"/>
      <c r="P78" s="38"/>
      <c r="Q78" s="38"/>
      <c r="R78" s="38"/>
      <c r="S78" s="38"/>
      <c r="T78" s="38"/>
      <c r="U78" s="38"/>
      <c r="V78" s="38"/>
      <c r="W78" s="38"/>
      <c r="X78" s="38"/>
      <c r="Y78" s="38"/>
      <c r="Z78" s="38"/>
      <c r="AA78" s="38"/>
      <c r="AB78" s="38"/>
      <c r="AC78" s="38"/>
      <c r="AD78" s="38"/>
      <c r="AE78" s="38"/>
      <c r="AF78" s="38"/>
      <c r="AG78" s="38"/>
      <c r="AH78" s="38"/>
      <c r="AI78" s="38"/>
      <c r="AJ78" s="38"/>
      <c r="AK78" s="38"/>
      <c r="AL78" s="38"/>
      <c r="AM78" s="38"/>
      <c r="AN78" s="38"/>
      <c r="AO78" s="38"/>
      <c r="AP78" s="38"/>
      <c r="AQ78" s="38"/>
      <c r="AR78" s="38"/>
      <c r="AS78" s="38"/>
    </row>
    <row r="79" spans="1:45" ht="15" x14ac:dyDescent="0.25">
      <c r="A79" s="38"/>
      <c r="B79" s="38"/>
      <c r="C79" s="38"/>
      <c r="D79" s="38"/>
      <c r="E79" s="38"/>
      <c r="F79" s="38"/>
      <c r="G79" s="38"/>
      <c r="H79" s="38"/>
      <c r="I79" s="38"/>
      <c r="J79" s="38"/>
      <c r="K79" s="38"/>
      <c r="L79" s="38"/>
      <c r="M79" s="38"/>
      <c r="N79" s="38"/>
      <c r="O79" s="38"/>
      <c r="P79" s="38"/>
      <c r="Q79" s="38"/>
      <c r="R79" s="38"/>
      <c r="S79" s="38"/>
      <c r="T79" s="38"/>
      <c r="U79" s="38"/>
      <c r="V79" s="38"/>
      <c r="W79" s="38"/>
      <c r="X79" s="38"/>
      <c r="Y79" s="38"/>
      <c r="Z79" s="38"/>
      <c r="AA79" s="38"/>
      <c r="AB79" s="38"/>
      <c r="AC79" s="38"/>
      <c r="AD79" s="38"/>
      <c r="AE79" s="38"/>
      <c r="AF79" s="38"/>
      <c r="AG79" s="38"/>
      <c r="AH79" s="38"/>
      <c r="AI79" s="38"/>
      <c r="AJ79" s="38"/>
      <c r="AK79" s="38"/>
      <c r="AL79" s="38"/>
      <c r="AM79" s="38"/>
      <c r="AN79" s="38"/>
      <c r="AO79" s="38"/>
      <c r="AP79" s="38"/>
      <c r="AQ79" s="38"/>
      <c r="AR79" s="38"/>
      <c r="AS79" s="38"/>
    </row>
    <row r="80" spans="1:45" ht="15" x14ac:dyDescent="0.25">
      <c r="A80" s="38"/>
      <c r="B80" s="38"/>
      <c r="C80" s="38"/>
      <c r="D80" s="38"/>
      <c r="E80" s="38"/>
      <c r="F80" s="38"/>
      <c r="G80" s="38"/>
      <c r="H80" s="38"/>
      <c r="I80" s="38"/>
      <c r="J80" s="38"/>
      <c r="K80" s="38"/>
      <c r="L80" s="38"/>
      <c r="M80" s="38"/>
      <c r="N80" s="38"/>
      <c r="O80" s="38"/>
      <c r="P80" s="38"/>
      <c r="Q80" s="38"/>
      <c r="R80" s="38"/>
      <c r="S80" s="38"/>
      <c r="T80" s="38"/>
      <c r="U80" s="38"/>
      <c r="V80" s="38"/>
      <c r="W80" s="38"/>
      <c r="X80" s="38"/>
      <c r="Y80" s="38"/>
      <c r="Z80" s="38"/>
      <c r="AA80" s="38"/>
      <c r="AB80" s="38"/>
      <c r="AC80" s="38"/>
      <c r="AD80" s="38"/>
      <c r="AE80" s="38"/>
      <c r="AF80" s="38"/>
      <c r="AG80" s="38"/>
      <c r="AH80" s="38"/>
      <c r="AI80" s="38"/>
      <c r="AJ80" s="38"/>
      <c r="AK80" s="38"/>
      <c r="AL80" s="38"/>
      <c r="AM80" s="38"/>
      <c r="AN80" s="38"/>
      <c r="AO80" s="38"/>
      <c r="AP80" s="38"/>
      <c r="AQ80" s="38"/>
      <c r="AR80" s="38"/>
      <c r="AS80" s="38"/>
    </row>
    <row r="81" spans="1:45" ht="15" x14ac:dyDescent="0.25">
      <c r="A81" s="38"/>
      <c r="B81" s="38"/>
      <c r="C81" s="38"/>
      <c r="D81" s="38"/>
      <c r="E81" s="38"/>
      <c r="F81" s="38"/>
      <c r="G81" s="38"/>
      <c r="H81" s="38"/>
      <c r="I81" s="38"/>
      <c r="J81" s="38"/>
      <c r="K81" s="38"/>
      <c r="L81" s="38"/>
      <c r="M81" s="38"/>
      <c r="N81" s="38"/>
      <c r="O81" s="38"/>
      <c r="P81" s="38"/>
      <c r="Q81" s="38"/>
      <c r="R81" s="38"/>
      <c r="S81" s="38"/>
      <c r="T81" s="38"/>
      <c r="U81" s="38"/>
      <c r="V81" s="38"/>
      <c r="W81" s="38"/>
      <c r="X81" s="38"/>
      <c r="Y81" s="38"/>
      <c r="Z81" s="38"/>
      <c r="AA81" s="38"/>
      <c r="AB81" s="38"/>
      <c r="AC81" s="38"/>
      <c r="AD81" s="38"/>
      <c r="AE81" s="38"/>
      <c r="AF81" s="38"/>
      <c r="AG81" s="38"/>
      <c r="AH81" s="38"/>
      <c r="AI81" s="38"/>
      <c r="AJ81" s="38"/>
      <c r="AK81" s="38"/>
      <c r="AL81" s="38"/>
      <c r="AM81" s="38"/>
      <c r="AN81" s="38"/>
      <c r="AO81" s="38"/>
      <c r="AP81" s="38"/>
      <c r="AQ81" s="38"/>
      <c r="AR81" s="38"/>
      <c r="AS81" s="38"/>
    </row>
    <row r="82" spans="1:45" ht="15" x14ac:dyDescent="0.25">
      <c r="A82" s="38"/>
      <c r="B82" s="38"/>
      <c r="C82" s="38"/>
      <c r="D82" s="38"/>
      <c r="E82" s="38"/>
      <c r="F82" s="38"/>
      <c r="G82" s="38"/>
      <c r="H82" s="38"/>
      <c r="I82" s="38"/>
      <c r="J82" s="38"/>
      <c r="K82" s="38"/>
      <c r="L82" s="38"/>
      <c r="M82" s="38"/>
      <c r="N82" s="38"/>
      <c r="O82" s="38"/>
      <c r="P82" s="38"/>
      <c r="Q82" s="38"/>
      <c r="R82" s="38"/>
      <c r="S82" s="38"/>
      <c r="T82" s="38"/>
      <c r="U82" s="38"/>
      <c r="V82" s="38"/>
      <c r="W82" s="38"/>
      <c r="X82" s="38"/>
      <c r="Y82" s="38"/>
      <c r="Z82" s="38"/>
      <c r="AA82" s="38"/>
      <c r="AB82" s="38"/>
      <c r="AC82" s="38"/>
      <c r="AD82" s="38"/>
      <c r="AE82" s="38"/>
      <c r="AF82" s="38"/>
      <c r="AG82" s="38"/>
      <c r="AH82" s="38"/>
      <c r="AI82" s="38"/>
      <c r="AJ82" s="38"/>
      <c r="AK82" s="38"/>
      <c r="AL82" s="38"/>
      <c r="AM82" s="38"/>
      <c r="AN82" s="38"/>
      <c r="AO82" s="38"/>
      <c r="AP82" s="38"/>
      <c r="AQ82" s="38"/>
      <c r="AR82" s="38"/>
      <c r="AS82" s="38"/>
    </row>
    <row r="83" spans="1:45" ht="15" x14ac:dyDescent="0.25">
      <c r="A83" s="38"/>
      <c r="B83" s="38"/>
      <c r="C83" s="38"/>
      <c r="D83" s="38"/>
      <c r="E83" s="38"/>
      <c r="F83" s="38"/>
      <c r="G83" s="38"/>
      <c r="H83" s="38"/>
      <c r="I83" s="38"/>
      <c r="J83" s="38"/>
      <c r="K83" s="38"/>
      <c r="L83" s="38"/>
      <c r="M83" s="38"/>
      <c r="N83" s="38"/>
      <c r="O83" s="38"/>
      <c r="P83" s="38"/>
      <c r="Q83" s="38"/>
      <c r="R83" s="38"/>
      <c r="S83" s="38"/>
      <c r="T83" s="38"/>
      <c r="U83" s="38"/>
      <c r="V83" s="38"/>
      <c r="W83" s="38"/>
      <c r="X83" s="38"/>
      <c r="Y83" s="38"/>
      <c r="Z83" s="38"/>
      <c r="AA83" s="38"/>
      <c r="AB83" s="38"/>
      <c r="AC83" s="38"/>
      <c r="AD83" s="38"/>
      <c r="AE83" s="38"/>
      <c r="AF83" s="38"/>
      <c r="AG83" s="38"/>
      <c r="AH83" s="38"/>
      <c r="AI83" s="38"/>
      <c r="AJ83" s="38"/>
      <c r="AK83" s="38"/>
      <c r="AL83" s="38"/>
      <c r="AM83" s="38"/>
      <c r="AN83" s="38"/>
      <c r="AO83" s="38"/>
      <c r="AP83" s="38"/>
      <c r="AQ83" s="38"/>
      <c r="AR83" s="38"/>
      <c r="AS83" s="38"/>
    </row>
    <row r="84" spans="1:45" ht="15" x14ac:dyDescent="0.25">
      <c r="A84" s="38"/>
      <c r="B84" s="38"/>
      <c r="C84" s="38"/>
      <c r="D84" s="38"/>
      <c r="E84" s="38"/>
      <c r="F84" s="38"/>
      <c r="G84" s="38"/>
      <c r="H84" s="38"/>
      <c r="I84" s="38"/>
      <c r="J84" s="38"/>
      <c r="K84" s="38"/>
      <c r="L84" s="38"/>
      <c r="M84" s="38"/>
      <c r="N84" s="38"/>
      <c r="O84" s="38"/>
      <c r="P84" s="38"/>
      <c r="Q84" s="38"/>
      <c r="R84" s="38"/>
      <c r="S84" s="38"/>
      <c r="T84" s="38"/>
      <c r="U84" s="38"/>
      <c r="V84" s="38"/>
      <c r="W84" s="38"/>
      <c r="X84" s="38"/>
      <c r="Y84" s="38"/>
      <c r="Z84" s="38"/>
      <c r="AA84" s="38"/>
      <c r="AB84" s="38"/>
      <c r="AC84" s="38"/>
      <c r="AD84" s="38"/>
      <c r="AE84" s="38"/>
      <c r="AF84" s="38"/>
      <c r="AG84" s="38"/>
      <c r="AH84" s="38"/>
      <c r="AI84" s="38"/>
      <c r="AJ84" s="38"/>
      <c r="AK84" s="38"/>
      <c r="AL84" s="38"/>
      <c r="AM84" s="38"/>
      <c r="AN84" s="38"/>
      <c r="AO84" s="38"/>
      <c r="AP84" s="38"/>
      <c r="AQ84" s="38"/>
      <c r="AR84" s="38"/>
      <c r="AS84" s="38"/>
    </row>
    <row r="85" spans="1:45" ht="15" x14ac:dyDescent="0.25">
      <c r="A85" s="38"/>
      <c r="B85" s="38"/>
      <c r="C85" s="38"/>
      <c r="D85" s="38"/>
      <c r="E85" s="38"/>
      <c r="F85" s="38"/>
      <c r="G85" s="38"/>
      <c r="H85" s="38"/>
      <c r="I85" s="38"/>
      <c r="J85" s="38"/>
      <c r="K85" s="38"/>
      <c r="L85" s="38"/>
      <c r="M85" s="38"/>
      <c r="N85" s="38"/>
      <c r="O85" s="38"/>
      <c r="P85" s="38"/>
      <c r="Q85" s="38"/>
      <c r="R85" s="38"/>
      <c r="S85" s="38"/>
      <c r="T85" s="38"/>
      <c r="U85" s="38"/>
      <c r="V85" s="38"/>
      <c r="W85" s="38"/>
      <c r="X85" s="38"/>
      <c r="Y85" s="38"/>
      <c r="Z85" s="38"/>
      <c r="AA85" s="38"/>
      <c r="AB85" s="38"/>
      <c r="AC85" s="38"/>
      <c r="AD85" s="38"/>
      <c r="AE85" s="38"/>
      <c r="AF85" s="38"/>
      <c r="AG85" s="38"/>
      <c r="AH85" s="38"/>
      <c r="AI85" s="38"/>
      <c r="AJ85" s="38"/>
      <c r="AK85" s="38"/>
      <c r="AL85" s="38"/>
      <c r="AM85" s="38"/>
      <c r="AN85" s="38"/>
      <c r="AO85" s="38"/>
      <c r="AP85" s="38"/>
      <c r="AQ85" s="38"/>
      <c r="AR85" s="38"/>
      <c r="AS85" s="38"/>
    </row>
    <row r="86" spans="1:45" ht="15" x14ac:dyDescent="0.25">
      <c r="A86" s="38"/>
      <c r="B86" s="38"/>
      <c r="C86" s="38"/>
      <c r="D86" s="38"/>
      <c r="E86" s="38"/>
      <c r="F86" s="38"/>
      <c r="G86" s="38"/>
      <c r="H86" s="38"/>
      <c r="I86" s="38"/>
      <c r="J86" s="38"/>
      <c r="K86" s="38"/>
      <c r="L86" s="38"/>
      <c r="M86" s="38"/>
      <c r="N86" s="38"/>
      <c r="O86" s="38"/>
      <c r="P86" s="38"/>
      <c r="Q86" s="38"/>
      <c r="R86" s="38"/>
      <c r="S86" s="38"/>
      <c r="T86" s="38"/>
      <c r="U86" s="38"/>
      <c r="V86" s="38"/>
      <c r="W86" s="38"/>
      <c r="X86" s="38"/>
      <c r="Y86" s="38"/>
      <c r="Z86" s="38"/>
      <c r="AA86" s="38"/>
      <c r="AB86" s="38"/>
      <c r="AC86" s="38"/>
      <c r="AD86" s="38"/>
      <c r="AE86" s="38"/>
      <c r="AF86" s="38"/>
      <c r="AG86" s="38"/>
      <c r="AH86" s="38"/>
      <c r="AI86" s="38"/>
      <c r="AJ86" s="38"/>
      <c r="AK86" s="38"/>
      <c r="AL86" s="38"/>
      <c r="AM86" s="38"/>
      <c r="AN86" s="38"/>
      <c r="AO86" s="38"/>
      <c r="AP86" s="38"/>
      <c r="AQ86" s="38"/>
      <c r="AR86" s="38"/>
      <c r="AS86" s="38"/>
    </row>
    <row r="87" spans="1:45" ht="15" x14ac:dyDescent="0.25">
      <c r="A87" s="38"/>
      <c r="B87" s="38"/>
      <c r="C87" s="38"/>
      <c r="D87" s="38"/>
      <c r="E87" s="38"/>
      <c r="F87" s="38"/>
      <c r="G87" s="38"/>
      <c r="H87" s="38"/>
      <c r="I87" s="38"/>
      <c r="J87" s="38"/>
      <c r="K87" s="38"/>
      <c r="L87" s="38"/>
      <c r="M87" s="38"/>
      <c r="N87" s="38"/>
      <c r="O87" s="38"/>
      <c r="P87" s="38"/>
      <c r="Q87" s="38"/>
      <c r="R87" s="38"/>
      <c r="S87" s="38"/>
      <c r="T87" s="38"/>
      <c r="U87" s="38"/>
      <c r="V87" s="38"/>
      <c r="W87" s="38"/>
      <c r="X87" s="38"/>
      <c r="Y87" s="38"/>
      <c r="Z87" s="38"/>
      <c r="AA87" s="38"/>
      <c r="AB87" s="38"/>
      <c r="AC87" s="38"/>
      <c r="AD87" s="38"/>
      <c r="AE87" s="38"/>
      <c r="AF87" s="38"/>
      <c r="AG87" s="38"/>
      <c r="AH87" s="38"/>
      <c r="AI87" s="38"/>
      <c r="AJ87" s="38"/>
      <c r="AK87" s="38"/>
      <c r="AL87" s="38"/>
      <c r="AM87" s="38"/>
      <c r="AN87" s="38"/>
      <c r="AO87" s="38"/>
      <c r="AP87" s="38"/>
      <c r="AQ87" s="38"/>
      <c r="AR87" s="38"/>
      <c r="AS87" s="38"/>
    </row>
    <row r="88" spans="1:45" ht="15" x14ac:dyDescent="0.25">
      <c r="A88" s="38"/>
      <c r="B88" s="38"/>
      <c r="C88" s="38"/>
      <c r="D88" s="38"/>
      <c r="E88" s="38"/>
      <c r="F88" s="38"/>
      <c r="G88" s="38"/>
      <c r="H88" s="38"/>
      <c r="I88" s="38"/>
      <c r="J88" s="38"/>
      <c r="K88" s="38"/>
      <c r="L88" s="38"/>
      <c r="M88" s="38"/>
      <c r="N88" s="38"/>
      <c r="O88" s="38"/>
      <c r="P88" s="38"/>
      <c r="Q88" s="38"/>
      <c r="R88" s="38"/>
      <c r="S88" s="38"/>
      <c r="T88" s="38"/>
      <c r="U88" s="38"/>
      <c r="V88" s="38"/>
      <c r="W88" s="38"/>
      <c r="X88" s="38"/>
      <c r="Y88" s="38"/>
      <c r="Z88" s="38"/>
      <c r="AA88" s="38"/>
      <c r="AB88" s="38"/>
      <c r="AC88" s="38"/>
      <c r="AD88" s="38"/>
      <c r="AE88" s="38"/>
      <c r="AF88" s="38"/>
      <c r="AG88" s="38"/>
      <c r="AH88" s="38"/>
      <c r="AI88" s="38"/>
      <c r="AJ88" s="38"/>
      <c r="AK88" s="38"/>
      <c r="AL88" s="38"/>
      <c r="AM88" s="38"/>
      <c r="AN88" s="38"/>
      <c r="AO88" s="38"/>
      <c r="AP88" s="38"/>
      <c r="AQ88" s="38"/>
      <c r="AR88" s="38"/>
      <c r="AS88" s="38"/>
    </row>
    <row r="89" spans="1:45" ht="15" x14ac:dyDescent="0.25">
      <c r="A89" s="38"/>
      <c r="B89" s="38"/>
      <c r="C89" s="38"/>
      <c r="D89" s="38"/>
      <c r="E89" s="38"/>
      <c r="F89" s="38"/>
      <c r="G89" s="38"/>
      <c r="H89" s="38"/>
      <c r="I89" s="38"/>
      <c r="J89" s="38"/>
      <c r="K89" s="38"/>
      <c r="L89" s="38"/>
      <c r="M89" s="38"/>
      <c r="N89" s="38"/>
      <c r="O89" s="38"/>
      <c r="P89" s="38"/>
      <c r="Q89" s="38"/>
      <c r="R89" s="38"/>
      <c r="S89" s="38"/>
      <c r="T89" s="38"/>
      <c r="U89" s="38"/>
      <c r="V89" s="38"/>
      <c r="W89" s="38"/>
      <c r="X89" s="38"/>
      <c r="Y89" s="38"/>
      <c r="Z89" s="38"/>
      <c r="AA89" s="38"/>
      <c r="AB89" s="38"/>
      <c r="AC89" s="38"/>
      <c r="AD89" s="38"/>
      <c r="AE89" s="38"/>
      <c r="AF89" s="38"/>
      <c r="AG89" s="38"/>
      <c r="AH89" s="38"/>
      <c r="AI89" s="38"/>
      <c r="AJ89" s="38"/>
      <c r="AK89" s="38"/>
      <c r="AL89" s="38"/>
      <c r="AM89" s="38"/>
      <c r="AN89" s="38"/>
      <c r="AO89" s="38"/>
      <c r="AP89" s="38"/>
      <c r="AQ89" s="38"/>
      <c r="AR89" s="38"/>
      <c r="AS89" s="38"/>
    </row>
    <row r="90" spans="1:45" ht="15" x14ac:dyDescent="0.25">
      <c r="A90" s="38"/>
      <c r="B90" s="38"/>
      <c r="C90" s="38"/>
      <c r="D90" s="38"/>
      <c r="E90" s="38"/>
      <c r="F90" s="38"/>
      <c r="G90" s="38"/>
      <c r="H90" s="38"/>
      <c r="I90" s="38"/>
      <c r="J90" s="38"/>
      <c r="K90" s="38"/>
      <c r="L90" s="38"/>
      <c r="M90" s="38"/>
      <c r="N90" s="38"/>
      <c r="O90" s="38"/>
      <c r="P90" s="38"/>
      <c r="Q90" s="38"/>
      <c r="R90" s="38"/>
      <c r="S90" s="38"/>
      <c r="T90" s="38"/>
      <c r="U90" s="38"/>
      <c r="V90" s="38"/>
      <c r="W90" s="38"/>
      <c r="X90" s="38"/>
      <c r="Y90" s="38"/>
      <c r="Z90" s="38"/>
      <c r="AA90" s="38"/>
      <c r="AB90" s="38"/>
      <c r="AC90" s="38"/>
      <c r="AD90" s="38"/>
      <c r="AE90" s="38"/>
      <c r="AF90" s="38"/>
      <c r="AG90" s="38"/>
      <c r="AH90" s="38"/>
      <c r="AI90" s="38"/>
      <c r="AJ90" s="38"/>
      <c r="AK90" s="38"/>
      <c r="AL90" s="38"/>
      <c r="AM90" s="38"/>
      <c r="AN90" s="38"/>
      <c r="AO90" s="38"/>
      <c r="AP90" s="38"/>
      <c r="AQ90" s="38"/>
      <c r="AR90" s="38"/>
      <c r="AS90" s="38"/>
    </row>
    <row r="91" spans="1:45" ht="15" x14ac:dyDescent="0.25">
      <c r="A91" s="38"/>
      <c r="B91" s="38"/>
      <c r="C91" s="38"/>
      <c r="D91" s="38"/>
      <c r="E91" s="38"/>
      <c r="F91" s="38"/>
      <c r="G91" s="38"/>
      <c r="H91" s="38"/>
      <c r="I91" s="38"/>
      <c r="J91" s="38"/>
      <c r="K91" s="38"/>
      <c r="L91" s="38"/>
      <c r="M91" s="38"/>
      <c r="N91" s="38"/>
      <c r="O91" s="38"/>
      <c r="P91" s="38"/>
      <c r="Q91" s="38"/>
      <c r="R91" s="38"/>
      <c r="S91" s="38"/>
      <c r="T91" s="38"/>
      <c r="U91" s="38"/>
      <c r="V91" s="38"/>
      <c r="W91" s="38"/>
      <c r="X91" s="38"/>
      <c r="Y91" s="38"/>
      <c r="Z91" s="38"/>
      <c r="AA91" s="38"/>
      <c r="AB91" s="38"/>
      <c r="AC91" s="38"/>
      <c r="AD91" s="38"/>
      <c r="AE91" s="38"/>
      <c r="AF91" s="38"/>
      <c r="AG91" s="38"/>
      <c r="AH91" s="38"/>
      <c r="AI91" s="38"/>
      <c r="AJ91" s="38"/>
      <c r="AK91" s="38"/>
      <c r="AL91" s="38"/>
      <c r="AM91" s="38"/>
      <c r="AN91" s="38"/>
      <c r="AO91" s="38"/>
      <c r="AP91" s="38"/>
      <c r="AQ91" s="38"/>
      <c r="AR91" s="38"/>
      <c r="AS91" s="38"/>
    </row>
    <row r="92" spans="1:45" ht="15" x14ac:dyDescent="0.25">
      <c r="A92" s="38"/>
      <c r="B92" s="38"/>
      <c r="C92" s="38"/>
      <c r="D92" s="38"/>
      <c r="E92" s="38"/>
      <c r="F92" s="38"/>
      <c r="G92" s="38"/>
      <c r="H92" s="38"/>
      <c r="I92" s="38"/>
      <c r="J92" s="38"/>
      <c r="K92" s="38"/>
      <c r="L92" s="38"/>
      <c r="M92" s="38"/>
      <c r="N92" s="38"/>
      <c r="O92" s="38"/>
      <c r="P92" s="38"/>
      <c r="Q92" s="38"/>
      <c r="R92" s="38"/>
      <c r="S92" s="38"/>
      <c r="T92" s="38"/>
      <c r="U92" s="38"/>
      <c r="V92" s="38"/>
      <c r="W92" s="38"/>
      <c r="X92" s="38"/>
      <c r="Y92" s="38"/>
      <c r="Z92" s="38"/>
      <c r="AA92" s="38"/>
      <c r="AB92" s="38"/>
      <c r="AC92" s="38"/>
      <c r="AD92" s="38"/>
      <c r="AE92" s="38"/>
      <c r="AF92" s="38"/>
      <c r="AG92" s="38"/>
      <c r="AH92" s="38"/>
      <c r="AI92" s="38"/>
      <c r="AJ92" s="38"/>
      <c r="AK92" s="38"/>
      <c r="AL92" s="38"/>
      <c r="AM92" s="38"/>
      <c r="AN92" s="38"/>
      <c r="AO92" s="38"/>
      <c r="AP92" s="38"/>
      <c r="AQ92" s="38"/>
      <c r="AR92" s="38"/>
      <c r="AS92" s="38"/>
    </row>
    <row r="93" spans="1:45" ht="15" x14ac:dyDescent="0.25">
      <c r="A93" s="38"/>
      <c r="B93" s="38"/>
      <c r="C93" s="38"/>
      <c r="D93" s="38"/>
      <c r="E93" s="38"/>
      <c r="F93" s="38"/>
      <c r="G93" s="38"/>
      <c r="H93" s="38"/>
      <c r="I93" s="38"/>
      <c r="J93" s="38"/>
      <c r="K93" s="38"/>
      <c r="L93" s="38"/>
      <c r="M93" s="38"/>
      <c r="N93" s="38"/>
      <c r="O93" s="38"/>
      <c r="P93" s="38"/>
      <c r="Q93" s="38"/>
      <c r="R93" s="38"/>
      <c r="S93" s="38"/>
      <c r="T93" s="38"/>
      <c r="U93" s="38"/>
      <c r="V93" s="38"/>
      <c r="W93" s="38"/>
      <c r="X93" s="38"/>
      <c r="Y93" s="38"/>
      <c r="Z93" s="38"/>
      <c r="AA93" s="38"/>
      <c r="AB93" s="38"/>
      <c r="AC93" s="38"/>
      <c r="AD93" s="38"/>
      <c r="AE93" s="38"/>
      <c r="AF93" s="38"/>
      <c r="AG93" s="38"/>
      <c r="AH93" s="38"/>
      <c r="AI93" s="38"/>
      <c r="AJ93" s="38"/>
      <c r="AK93" s="38"/>
      <c r="AL93" s="38"/>
      <c r="AM93" s="38"/>
      <c r="AN93" s="38"/>
      <c r="AO93" s="38"/>
      <c r="AP93" s="38"/>
      <c r="AQ93" s="38"/>
      <c r="AR93" s="38"/>
      <c r="AS93" s="38"/>
    </row>
    <row r="94" spans="1:45" ht="15" x14ac:dyDescent="0.25">
      <c r="A94" s="38"/>
      <c r="B94" s="38"/>
      <c r="C94" s="38"/>
      <c r="D94" s="38"/>
      <c r="E94" s="38"/>
      <c r="F94" s="38"/>
      <c r="G94" s="38"/>
      <c r="H94" s="38"/>
      <c r="I94" s="38"/>
      <c r="J94" s="38"/>
      <c r="K94" s="38"/>
      <c r="L94" s="38"/>
      <c r="M94" s="38"/>
      <c r="N94" s="38"/>
      <c r="O94" s="38"/>
      <c r="P94" s="38"/>
      <c r="Q94" s="38"/>
      <c r="R94" s="38"/>
      <c r="S94" s="38"/>
      <c r="T94" s="38"/>
      <c r="U94" s="38"/>
      <c r="V94" s="38"/>
      <c r="W94" s="38"/>
      <c r="X94" s="38"/>
      <c r="Y94" s="38"/>
      <c r="Z94" s="38"/>
      <c r="AA94" s="38"/>
      <c r="AB94" s="38"/>
      <c r="AC94" s="38"/>
      <c r="AD94" s="38"/>
      <c r="AE94" s="38"/>
      <c r="AF94" s="38"/>
      <c r="AG94" s="38"/>
      <c r="AH94" s="38"/>
      <c r="AI94" s="38"/>
      <c r="AJ94" s="38"/>
      <c r="AK94" s="38"/>
      <c r="AL94" s="38"/>
      <c r="AM94" s="38"/>
      <c r="AN94" s="38"/>
      <c r="AO94" s="38"/>
      <c r="AP94" s="38"/>
      <c r="AQ94" s="38"/>
      <c r="AR94" s="38"/>
      <c r="AS94" s="38"/>
    </row>
    <row r="95" spans="1:45" ht="15" x14ac:dyDescent="0.25">
      <c r="A95" s="38"/>
      <c r="B95" s="38"/>
      <c r="C95" s="38"/>
      <c r="D95" s="38"/>
      <c r="E95" s="38"/>
      <c r="F95" s="38"/>
      <c r="G95" s="38"/>
      <c r="H95" s="38"/>
      <c r="I95" s="38"/>
      <c r="J95" s="38"/>
      <c r="K95" s="38"/>
      <c r="L95" s="38"/>
      <c r="M95" s="38"/>
      <c r="N95" s="38"/>
      <c r="O95" s="38"/>
      <c r="P95" s="38"/>
      <c r="Q95" s="38"/>
      <c r="R95" s="38"/>
      <c r="S95" s="38"/>
      <c r="T95" s="38"/>
      <c r="U95" s="38"/>
      <c r="V95" s="38"/>
      <c r="W95" s="38"/>
      <c r="X95" s="38"/>
      <c r="Y95" s="38"/>
      <c r="Z95" s="38"/>
      <c r="AA95" s="38"/>
      <c r="AB95" s="38"/>
      <c r="AC95" s="38"/>
      <c r="AD95" s="38"/>
      <c r="AE95" s="38"/>
      <c r="AF95" s="38"/>
      <c r="AG95" s="38"/>
      <c r="AH95" s="38"/>
      <c r="AI95" s="38"/>
      <c r="AJ95" s="38"/>
      <c r="AK95" s="38"/>
      <c r="AL95" s="38"/>
      <c r="AM95" s="38"/>
      <c r="AN95" s="38"/>
      <c r="AO95" s="38"/>
      <c r="AP95" s="38"/>
      <c r="AQ95" s="38"/>
      <c r="AR95" s="38"/>
      <c r="AS95" s="38"/>
    </row>
    <row r="96" spans="1:45" ht="15" x14ac:dyDescent="0.25">
      <c r="A96" s="38"/>
      <c r="B96" s="38"/>
      <c r="C96" s="38"/>
      <c r="D96" s="38"/>
      <c r="E96" s="38"/>
      <c r="F96" s="38"/>
      <c r="G96" s="38"/>
      <c r="H96" s="38"/>
      <c r="I96" s="38"/>
      <c r="J96" s="38"/>
      <c r="K96" s="38"/>
      <c r="L96" s="38"/>
      <c r="M96" s="38"/>
      <c r="N96" s="38"/>
      <c r="O96" s="38"/>
      <c r="P96" s="38"/>
      <c r="Q96" s="38"/>
      <c r="R96" s="38"/>
      <c r="S96" s="38"/>
      <c r="T96" s="38"/>
      <c r="U96" s="38"/>
      <c r="V96" s="38"/>
      <c r="W96" s="38"/>
      <c r="X96" s="38"/>
      <c r="Y96" s="38"/>
      <c r="Z96" s="38"/>
      <c r="AA96" s="38"/>
      <c r="AB96" s="38"/>
      <c r="AC96" s="38"/>
      <c r="AD96" s="38"/>
      <c r="AE96" s="38"/>
      <c r="AF96" s="38"/>
      <c r="AG96" s="38"/>
      <c r="AH96" s="38"/>
      <c r="AI96" s="38"/>
      <c r="AJ96" s="38"/>
      <c r="AK96" s="38"/>
      <c r="AL96" s="38"/>
      <c r="AM96" s="38"/>
      <c r="AN96" s="38"/>
      <c r="AO96" s="38"/>
      <c r="AP96" s="38"/>
      <c r="AQ96" s="38"/>
      <c r="AR96" s="38"/>
      <c r="AS96" s="38"/>
    </row>
    <row r="97" spans="1:45" ht="15" x14ac:dyDescent="0.25">
      <c r="A97" s="38"/>
      <c r="B97" s="38"/>
      <c r="C97" s="38"/>
      <c r="D97" s="38"/>
      <c r="E97" s="38"/>
      <c r="F97" s="38"/>
      <c r="G97" s="38"/>
      <c r="H97" s="38"/>
      <c r="I97" s="38"/>
      <c r="J97" s="38"/>
      <c r="K97" s="38"/>
      <c r="L97" s="38"/>
      <c r="M97" s="38"/>
      <c r="N97" s="38"/>
      <c r="O97" s="38"/>
      <c r="P97" s="38"/>
      <c r="Q97" s="38"/>
      <c r="R97" s="38"/>
      <c r="S97" s="38"/>
      <c r="T97" s="38"/>
      <c r="U97" s="38"/>
      <c r="V97" s="38"/>
      <c r="W97" s="38"/>
      <c r="X97" s="38"/>
      <c r="Y97" s="38"/>
      <c r="Z97" s="38"/>
      <c r="AA97" s="38"/>
      <c r="AB97" s="38"/>
      <c r="AC97" s="38"/>
      <c r="AD97" s="38"/>
      <c r="AE97" s="38"/>
      <c r="AF97" s="38"/>
      <c r="AG97" s="38"/>
      <c r="AH97" s="38"/>
      <c r="AI97" s="38"/>
      <c r="AJ97" s="38"/>
      <c r="AK97" s="38"/>
      <c r="AL97" s="38"/>
      <c r="AM97" s="38"/>
      <c r="AN97" s="38"/>
      <c r="AO97" s="38"/>
      <c r="AP97" s="38"/>
      <c r="AQ97" s="38"/>
      <c r="AR97" s="38"/>
      <c r="AS97" s="38"/>
    </row>
    <row r="98" spans="1:45" ht="15" x14ac:dyDescent="0.25">
      <c r="A98" s="38"/>
      <c r="B98" s="38"/>
      <c r="C98" s="38"/>
      <c r="D98" s="38"/>
      <c r="E98" s="38"/>
      <c r="F98" s="38"/>
      <c r="G98" s="38"/>
      <c r="H98" s="38"/>
      <c r="I98" s="38"/>
      <c r="J98" s="38"/>
      <c r="K98" s="38"/>
      <c r="L98" s="38"/>
      <c r="M98" s="38"/>
      <c r="N98" s="38"/>
      <c r="O98" s="38"/>
      <c r="P98" s="38"/>
      <c r="Q98" s="38"/>
      <c r="R98" s="38"/>
      <c r="S98" s="38"/>
      <c r="T98" s="38"/>
      <c r="U98" s="38"/>
      <c r="V98" s="38"/>
      <c r="W98" s="38"/>
      <c r="X98" s="38"/>
      <c r="Y98" s="38"/>
      <c r="Z98" s="38"/>
      <c r="AA98" s="38"/>
      <c r="AB98" s="38"/>
      <c r="AC98" s="38"/>
      <c r="AD98" s="38"/>
      <c r="AE98" s="38"/>
      <c r="AF98" s="38"/>
      <c r="AG98" s="38"/>
      <c r="AH98" s="38"/>
      <c r="AI98" s="38"/>
      <c r="AJ98" s="38"/>
      <c r="AK98" s="38"/>
      <c r="AL98" s="38"/>
      <c r="AM98" s="38"/>
      <c r="AN98" s="38"/>
      <c r="AO98" s="38"/>
      <c r="AP98" s="38"/>
      <c r="AQ98" s="38"/>
      <c r="AR98" s="38"/>
      <c r="AS98" s="38"/>
    </row>
    <row r="99" spans="1:45" ht="15" x14ac:dyDescent="0.25">
      <c r="A99" s="38"/>
      <c r="B99" s="38"/>
      <c r="C99" s="38"/>
      <c r="D99" s="38"/>
      <c r="E99" s="38"/>
      <c r="F99" s="38"/>
      <c r="G99" s="38"/>
      <c r="H99" s="38"/>
      <c r="I99" s="38"/>
      <c r="J99" s="38"/>
      <c r="K99" s="38"/>
      <c r="L99" s="38"/>
      <c r="M99" s="38"/>
      <c r="N99" s="38"/>
      <c r="O99" s="38"/>
      <c r="P99" s="38"/>
      <c r="Q99" s="38"/>
      <c r="R99" s="38"/>
      <c r="S99" s="38"/>
      <c r="T99" s="38"/>
      <c r="U99" s="38"/>
      <c r="V99" s="38"/>
      <c r="W99" s="38"/>
      <c r="X99" s="38"/>
      <c r="Y99" s="38"/>
      <c r="Z99" s="38"/>
      <c r="AA99" s="38"/>
      <c r="AB99" s="38"/>
      <c r="AC99" s="38"/>
      <c r="AD99" s="38"/>
      <c r="AE99" s="38"/>
      <c r="AF99" s="38"/>
      <c r="AG99" s="38"/>
      <c r="AH99" s="38"/>
      <c r="AI99" s="38"/>
      <c r="AJ99" s="38"/>
      <c r="AK99" s="38"/>
      <c r="AL99" s="38"/>
      <c r="AM99" s="38"/>
      <c r="AN99" s="38"/>
      <c r="AO99" s="38"/>
      <c r="AP99" s="38"/>
      <c r="AQ99" s="38"/>
      <c r="AR99" s="38"/>
      <c r="AS99" s="38"/>
    </row>
    <row r="100" spans="1:45" ht="15" x14ac:dyDescent="0.25">
      <c r="A100" s="38"/>
      <c r="B100" s="38"/>
      <c r="C100" s="38"/>
      <c r="D100" s="38"/>
      <c r="E100" s="38"/>
      <c r="F100" s="38"/>
      <c r="G100" s="38"/>
      <c r="H100" s="38"/>
      <c r="I100" s="38"/>
      <c r="J100" s="38"/>
      <c r="K100" s="38"/>
      <c r="L100" s="38"/>
      <c r="M100" s="38"/>
      <c r="N100" s="38"/>
      <c r="O100" s="38"/>
      <c r="P100" s="38"/>
      <c r="Q100" s="38"/>
      <c r="R100" s="38"/>
      <c r="S100" s="38"/>
      <c r="T100" s="38"/>
      <c r="U100" s="38"/>
      <c r="V100" s="38"/>
      <c r="W100" s="38"/>
      <c r="X100" s="38"/>
      <c r="Y100" s="38"/>
      <c r="Z100" s="38"/>
      <c r="AA100" s="38"/>
      <c r="AB100" s="38"/>
      <c r="AC100" s="38"/>
      <c r="AD100" s="38"/>
      <c r="AE100" s="38"/>
      <c r="AF100" s="38"/>
      <c r="AG100" s="38"/>
      <c r="AH100" s="38"/>
      <c r="AI100" s="38"/>
      <c r="AJ100" s="38"/>
      <c r="AK100" s="38"/>
      <c r="AL100" s="38"/>
      <c r="AM100" s="38"/>
      <c r="AN100" s="38"/>
      <c r="AO100" s="38"/>
      <c r="AP100" s="38"/>
      <c r="AQ100" s="38"/>
      <c r="AR100" s="38"/>
      <c r="AS100" s="38"/>
    </row>
    <row r="101" spans="1:45" ht="15" x14ac:dyDescent="0.25">
      <c r="A101" s="38"/>
      <c r="B101" s="38"/>
      <c r="C101" s="38"/>
      <c r="D101" s="38"/>
      <c r="E101" s="38"/>
      <c r="F101" s="38"/>
      <c r="G101" s="38"/>
      <c r="H101" s="38"/>
      <c r="I101" s="38"/>
      <c r="J101" s="38"/>
      <c r="K101" s="38"/>
      <c r="L101" s="38"/>
      <c r="M101" s="38"/>
      <c r="N101" s="38"/>
      <c r="O101" s="38"/>
      <c r="P101" s="38"/>
      <c r="Q101" s="38"/>
      <c r="R101" s="38"/>
      <c r="S101" s="38"/>
      <c r="T101" s="38"/>
      <c r="U101" s="38"/>
      <c r="V101" s="38"/>
      <c r="W101" s="38"/>
      <c r="X101" s="38"/>
      <c r="Y101" s="38"/>
      <c r="Z101" s="38"/>
      <c r="AA101" s="38"/>
      <c r="AB101" s="38"/>
      <c r="AC101" s="38"/>
      <c r="AD101" s="38"/>
      <c r="AE101" s="38"/>
      <c r="AF101" s="38"/>
      <c r="AG101" s="38"/>
      <c r="AH101" s="38"/>
      <c r="AI101" s="38"/>
      <c r="AJ101" s="38"/>
      <c r="AK101" s="38"/>
      <c r="AL101" s="38"/>
      <c r="AM101" s="38"/>
      <c r="AN101" s="38"/>
      <c r="AO101" s="38"/>
      <c r="AP101" s="38"/>
      <c r="AQ101" s="38"/>
      <c r="AR101" s="38"/>
      <c r="AS101" s="38"/>
    </row>
    <row r="102" spans="1:45" ht="15" x14ac:dyDescent="0.25">
      <c r="A102" s="38"/>
      <c r="B102" s="38"/>
      <c r="C102" s="38"/>
      <c r="D102" s="38"/>
      <c r="E102" s="38"/>
      <c r="F102" s="38"/>
      <c r="G102" s="38"/>
      <c r="H102" s="38"/>
      <c r="I102" s="38"/>
      <c r="J102" s="38"/>
      <c r="K102" s="38"/>
      <c r="L102" s="38"/>
      <c r="M102" s="38"/>
      <c r="N102" s="38"/>
      <c r="O102" s="38"/>
      <c r="P102" s="38"/>
      <c r="Q102" s="38"/>
      <c r="R102" s="38"/>
      <c r="S102" s="38"/>
      <c r="T102" s="38"/>
      <c r="U102" s="38"/>
      <c r="V102" s="38"/>
      <c r="W102" s="38"/>
      <c r="X102" s="38"/>
      <c r="Y102" s="38"/>
      <c r="Z102" s="38"/>
      <c r="AA102" s="38"/>
      <c r="AB102" s="38"/>
      <c r="AC102" s="38"/>
      <c r="AD102" s="38"/>
      <c r="AE102" s="38"/>
      <c r="AF102" s="38"/>
      <c r="AG102" s="38"/>
      <c r="AH102" s="38"/>
      <c r="AI102" s="38"/>
      <c r="AJ102" s="38"/>
      <c r="AK102" s="38"/>
      <c r="AL102" s="38"/>
      <c r="AM102" s="38"/>
      <c r="AN102" s="38"/>
      <c r="AO102" s="38"/>
      <c r="AP102" s="38"/>
      <c r="AQ102" s="38"/>
      <c r="AR102" s="38"/>
      <c r="AS102" s="38"/>
    </row>
    <row r="103" spans="1:45" ht="15" x14ac:dyDescent="0.25">
      <c r="A103" s="38"/>
      <c r="B103" s="38"/>
      <c r="C103" s="38"/>
      <c r="D103" s="38"/>
      <c r="E103" s="38"/>
      <c r="F103" s="38"/>
      <c r="G103" s="38"/>
      <c r="H103" s="38"/>
      <c r="I103" s="38"/>
      <c r="J103" s="38"/>
      <c r="K103" s="38"/>
      <c r="L103" s="38"/>
      <c r="M103" s="38"/>
      <c r="N103" s="38"/>
      <c r="O103" s="38"/>
      <c r="P103" s="38"/>
      <c r="Q103" s="38"/>
      <c r="R103" s="38"/>
      <c r="S103" s="38"/>
      <c r="T103" s="38"/>
      <c r="U103" s="38"/>
      <c r="V103" s="38"/>
      <c r="W103" s="38"/>
      <c r="X103" s="38"/>
      <c r="Y103" s="38"/>
      <c r="Z103" s="38"/>
      <c r="AA103" s="38"/>
      <c r="AB103" s="38"/>
      <c r="AC103" s="38"/>
      <c r="AD103" s="38"/>
      <c r="AE103" s="38"/>
      <c r="AF103" s="38"/>
      <c r="AG103" s="38"/>
      <c r="AH103" s="38"/>
      <c r="AI103" s="38"/>
      <c r="AJ103" s="38"/>
      <c r="AK103" s="38"/>
      <c r="AL103" s="38"/>
      <c r="AM103" s="38"/>
      <c r="AN103" s="38"/>
      <c r="AO103" s="38"/>
      <c r="AP103" s="38"/>
      <c r="AQ103" s="38"/>
      <c r="AR103" s="38"/>
      <c r="AS103" s="38"/>
    </row>
    <row r="104" spans="1:45" ht="15" x14ac:dyDescent="0.25">
      <c r="A104" s="38"/>
      <c r="B104" s="38"/>
      <c r="C104" s="38"/>
      <c r="D104" s="38"/>
      <c r="E104" s="38"/>
      <c r="F104" s="38"/>
      <c r="G104" s="38"/>
      <c r="H104" s="38"/>
      <c r="I104" s="38"/>
      <c r="J104" s="38"/>
      <c r="K104" s="38"/>
      <c r="L104" s="38"/>
      <c r="M104" s="38"/>
      <c r="N104" s="38"/>
      <c r="O104" s="38"/>
      <c r="P104" s="38"/>
      <c r="Q104" s="38"/>
      <c r="R104" s="38"/>
      <c r="S104" s="38"/>
      <c r="T104" s="38"/>
      <c r="U104" s="38"/>
      <c r="V104" s="38"/>
      <c r="W104" s="38"/>
      <c r="X104" s="38"/>
      <c r="Y104" s="38"/>
      <c r="Z104" s="38"/>
      <c r="AA104" s="38"/>
      <c r="AB104" s="38"/>
      <c r="AC104" s="38"/>
      <c r="AD104" s="38"/>
      <c r="AE104" s="38"/>
      <c r="AF104" s="38"/>
      <c r="AG104" s="38"/>
      <c r="AH104" s="38"/>
      <c r="AI104" s="38"/>
      <c r="AJ104" s="38"/>
      <c r="AK104" s="38"/>
      <c r="AL104" s="38"/>
      <c r="AM104" s="38"/>
      <c r="AN104" s="38"/>
      <c r="AO104" s="38"/>
      <c r="AP104" s="38"/>
      <c r="AQ104" s="38"/>
      <c r="AR104" s="38"/>
      <c r="AS104" s="38"/>
    </row>
    <row r="105" spans="1:45" ht="15" x14ac:dyDescent="0.25">
      <c r="A105" s="38"/>
      <c r="B105" s="38"/>
      <c r="C105" s="38"/>
      <c r="D105" s="38"/>
      <c r="E105" s="38"/>
      <c r="F105" s="38"/>
      <c r="G105" s="38"/>
      <c r="H105" s="38"/>
      <c r="I105" s="38"/>
      <c r="J105" s="38"/>
      <c r="K105" s="38"/>
      <c r="L105" s="38"/>
      <c r="M105" s="38"/>
      <c r="N105" s="38"/>
      <c r="O105" s="38"/>
      <c r="P105" s="38"/>
      <c r="Q105" s="38"/>
      <c r="R105" s="38"/>
      <c r="S105" s="38"/>
      <c r="T105" s="38"/>
      <c r="U105" s="38"/>
      <c r="V105" s="38"/>
      <c r="W105" s="38"/>
      <c r="X105" s="38"/>
      <c r="Y105" s="38"/>
      <c r="Z105" s="38"/>
      <c r="AA105" s="38"/>
      <c r="AB105" s="38"/>
      <c r="AC105" s="38"/>
      <c r="AD105" s="38"/>
      <c r="AE105" s="38"/>
      <c r="AF105" s="38"/>
      <c r="AG105" s="38"/>
      <c r="AH105" s="38"/>
      <c r="AI105" s="38"/>
      <c r="AJ105" s="38"/>
      <c r="AK105" s="38"/>
      <c r="AL105" s="38"/>
      <c r="AM105" s="38"/>
      <c r="AN105" s="38"/>
      <c r="AO105" s="38"/>
      <c r="AP105" s="38"/>
      <c r="AQ105" s="38"/>
      <c r="AR105" s="38"/>
      <c r="AS105" s="38"/>
    </row>
    <row r="106" spans="1:45" ht="15" x14ac:dyDescent="0.25">
      <c r="A106" s="38"/>
      <c r="B106" s="38"/>
      <c r="C106" s="38"/>
      <c r="D106" s="38"/>
      <c r="E106" s="38"/>
      <c r="F106" s="38"/>
      <c r="G106" s="38"/>
      <c r="H106" s="38"/>
      <c r="I106" s="38"/>
      <c r="J106" s="38"/>
      <c r="K106" s="38"/>
      <c r="L106" s="38"/>
      <c r="M106" s="38"/>
      <c r="N106" s="38"/>
      <c r="O106" s="38"/>
      <c r="P106" s="38"/>
      <c r="Q106" s="38"/>
      <c r="R106" s="38"/>
      <c r="S106" s="38"/>
      <c r="T106" s="38"/>
      <c r="U106" s="38"/>
      <c r="V106" s="38"/>
      <c r="W106" s="38"/>
      <c r="X106" s="38"/>
      <c r="Y106" s="38"/>
      <c r="Z106" s="38"/>
      <c r="AA106" s="38"/>
      <c r="AB106" s="38"/>
      <c r="AC106" s="38"/>
      <c r="AD106" s="38"/>
      <c r="AE106" s="38"/>
      <c r="AF106" s="38"/>
      <c r="AG106" s="38"/>
      <c r="AH106" s="38"/>
      <c r="AI106" s="38"/>
      <c r="AJ106" s="38"/>
      <c r="AK106" s="38"/>
      <c r="AL106" s="38"/>
      <c r="AM106" s="38"/>
      <c r="AN106" s="38"/>
      <c r="AO106" s="38"/>
      <c r="AP106" s="38"/>
      <c r="AQ106" s="38"/>
      <c r="AR106" s="38"/>
      <c r="AS106" s="38"/>
    </row>
    <row r="107" spans="1:45" ht="15" x14ac:dyDescent="0.25">
      <c r="A107" s="38"/>
      <c r="B107" s="38"/>
      <c r="C107" s="38"/>
      <c r="D107" s="38"/>
      <c r="E107" s="38"/>
      <c r="F107" s="38"/>
      <c r="G107" s="38"/>
      <c r="H107" s="38"/>
      <c r="I107" s="38"/>
      <c r="J107" s="38"/>
      <c r="K107" s="38"/>
      <c r="L107" s="38"/>
      <c r="M107" s="38"/>
      <c r="N107" s="38"/>
      <c r="O107" s="38"/>
      <c r="P107" s="38"/>
      <c r="Q107" s="38"/>
      <c r="R107" s="38"/>
      <c r="S107" s="38"/>
      <c r="T107" s="38"/>
      <c r="U107" s="38"/>
      <c r="V107" s="38"/>
      <c r="W107" s="38"/>
      <c r="X107" s="38"/>
      <c r="Y107" s="38"/>
      <c r="Z107" s="38"/>
      <c r="AA107" s="38"/>
      <c r="AB107" s="38"/>
      <c r="AC107" s="38"/>
      <c r="AD107" s="38"/>
      <c r="AE107" s="38"/>
      <c r="AF107" s="38"/>
      <c r="AG107" s="38"/>
      <c r="AH107" s="38"/>
      <c r="AI107" s="38"/>
      <c r="AJ107" s="38"/>
      <c r="AK107" s="38"/>
      <c r="AL107" s="38"/>
      <c r="AM107" s="38"/>
      <c r="AN107" s="38"/>
      <c r="AO107" s="38"/>
      <c r="AP107" s="38"/>
      <c r="AQ107" s="38"/>
      <c r="AR107" s="38"/>
      <c r="AS107" s="38"/>
    </row>
    <row r="108" spans="1:45" ht="15" x14ac:dyDescent="0.25">
      <c r="A108" s="38"/>
      <c r="B108" s="38"/>
      <c r="C108" s="38"/>
      <c r="D108" s="38"/>
      <c r="E108" s="38"/>
      <c r="F108" s="38"/>
      <c r="G108" s="38"/>
      <c r="H108" s="38"/>
      <c r="I108" s="38"/>
      <c r="J108" s="38"/>
      <c r="K108" s="38"/>
      <c r="L108" s="38"/>
      <c r="M108" s="38"/>
      <c r="N108" s="38"/>
      <c r="O108" s="38"/>
      <c r="P108" s="38"/>
      <c r="Q108" s="38"/>
      <c r="R108" s="38"/>
      <c r="S108" s="38"/>
      <c r="T108" s="38"/>
      <c r="U108" s="38"/>
      <c r="V108" s="38"/>
      <c r="W108" s="38"/>
      <c r="X108" s="38"/>
      <c r="Y108" s="38"/>
      <c r="Z108" s="38"/>
      <c r="AA108" s="38"/>
      <c r="AB108" s="38"/>
      <c r="AC108" s="38"/>
      <c r="AD108" s="38"/>
      <c r="AE108" s="38"/>
      <c r="AF108" s="38"/>
      <c r="AG108" s="38"/>
      <c r="AH108" s="38"/>
      <c r="AI108" s="38"/>
      <c r="AJ108" s="38"/>
      <c r="AK108" s="38"/>
      <c r="AL108" s="38"/>
      <c r="AM108" s="38"/>
      <c r="AN108" s="38"/>
      <c r="AO108" s="38"/>
      <c r="AP108" s="38"/>
      <c r="AQ108" s="38"/>
      <c r="AR108" s="38"/>
      <c r="AS108" s="38"/>
    </row>
    <row r="109" spans="1:45" ht="15" x14ac:dyDescent="0.25">
      <c r="A109" s="38"/>
      <c r="B109" s="38"/>
      <c r="C109" s="38"/>
      <c r="D109" s="38"/>
      <c r="E109" s="38"/>
      <c r="F109" s="38"/>
      <c r="G109" s="38"/>
      <c r="H109" s="38"/>
      <c r="I109" s="38"/>
      <c r="J109" s="38"/>
      <c r="K109" s="38"/>
      <c r="L109" s="38"/>
      <c r="M109" s="38"/>
      <c r="N109" s="38"/>
      <c r="O109" s="38"/>
      <c r="P109" s="38"/>
      <c r="Q109" s="38"/>
      <c r="R109" s="38"/>
      <c r="S109" s="38"/>
      <c r="T109" s="38"/>
      <c r="U109" s="38"/>
      <c r="V109" s="38"/>
      <c r="W109" s="38"/>
      <c r="X109" s="38"/>
      <c r="Y109" s="38"/>
      <c r="Z109" s="38"/>
      <c r="AA109" s="38"/>
      <c r="AB109" s="38"/>
      <c r="AC109" s="38"/>
      <c r="AD109" s="38"/>
      <c r="AE109" s="38"/>
      <c r="AF109" s="38"/>
      <c r="AG109" s="38"/>
      <c r="AH109" s="38"/>
      <c r="AI109" s="38"/>
      <c r="AJ109" s="38"/>
      <c r="AK109" s="38"/>
      <c r="AL109" s="38"/>
      <c r="AM109" s="38"/>
      <c r="AN109" s="38"/>
      <c r="AO109" s="38"/>
      <c r="AP109" s="38"/>
      <c r="AQ109" s="38"/>
      <c r="AR109" s="38"/>
      <c r="AS109" s="38"/>
    </row>
    <row r="110" spans="1:45" ht="15" x14ac:dyDescent="0.25">
      <c r="A110" s="38"/>
      <c r="B110" s="38"/>
      <c r="C110" s="38"/>
      <c r="D110" s="38"/>
      <c r="E110" s="38"/>
      <c r="F110" s="38"/>
      <c r="G110" s="38"/>
      <c r="H110" s="38"/>
      <c r="I110" s="38"/>
      <c r="J110" s="38"/>
      <c r="K110" s="38"/>
      <c r="L110" s="38"/>
      <c r="M110" s="38"/>
      <c r="N110" s="38"/>
      <c r="O110" s="38"/>
      <c r="P110" s="38"/>
      <c r="Q110" s="38"/>
      <c r="R110" s="38"/>
      <c r="S110" s="38"/>
      <c r="T110" s="38"/>
      <c r="U110" s="38"/>
      <c r="V110" s="38"/>
      <c r="W110" s="38"/>
      <c r="X110" s="38"/>
      <c r="Y110" s="38"/>
      <c r="Z110" s="38"/>
      <c r="AA110" s="38"/>
      <c r="AB110" s="38"/>
      <c r="AC110" s="38"/>
      <c r="AD110" s="38"/>
      <c r="AE110" s="38"/>
      <c r="AF110" s="38"/>
      <c r="AG110" s="38"/>
      <c r="AH110" s="38"/>
      <c r="AI110" s="38"/>
      <c r="AJ110" s="38"/>
      <c r="AK110" s="38"/>
      <c r="AL110" s="38"/>
      <c r="AM110" s="38"/>
      <c r="AN110" s="38"/>
      <c r="AO110" s="38"/>
      <c r="AP110" s="38"/>
      <c r="AQ110" s="38"/>
      <c r="AR110" s="38"/>
      <c r="AS110" s="38"/>
    </row>
    <row r="111" spans="1:45" ht="15" x14ac:dyDescent="0.25">
      <c r="A111" s="38"/>
      <c r="B111" s="38"/>
      <c r="C111" s="38"/>
      <c r="D111" s="38"/>
      <c r="E111" s="38"/>
      <c r="F111" s="38"/>
      <c r="G111" s="38"/>
      <c r="H111" s="38"/>
      <c r="I111" s="38"/>
      <c r="J111" s="38"/>
      <c r="K111" s="38"/>
      <c r="L111" s="38"/>
      <c r="M111" s="38"/>
      <c r="N111" s="38"/>
      <c r="O111" s="38"/>
      <c r="P111" s="38"/>
      <c r="Q111" s="38"/>
      <c r="R111" s="38"/>
      <c r="S111" s="38"/>
      <c r="T111" s="38"/>
      <c r="U111" s="38"/>
      <c r="V111" s="38"/>
      <c r="W111" s="38"/>
      <c r="X111" s="38"/>
      <c r="Y111" s="38"/>
      <c r="Z111" s="38"/>
      <c r="AA111" s="38"/>
      <c r="AB111" s="38"/>
      <c r="AC111" s="38"/>
      <c r="AD111" s="38"/>
      <c r="AE111" s="38"/>
      <c r="AF111" s="38"/>
      <c r="AG111" s="38"/>
      <c r="AH111" s="38"/>
      <c r="AI111" s="38"/>
      <c r="AJ111" s="38"/>
      <c r="AK111" s="38"/>
      <c r="AL111" s="38"/>
      <c r="AM111" s="38"/>
      <c r="AN111" s="38"/>
      <c r="AO111" s="38"/>
      <c r="AP111" s="38"/>
      <c r="AQ111" s="38"/>
      <c r="AR111" s="38"/>
      <c r="AS111" s="38"/>
    </row>
    <row r="112" spans="1:45" ht="15" x14ac:dyDescent="0.25">
      <c r="A112" s="38"/>
      <c r="B112" s="38"/>
      <c r="C112" s="38"/>
      <c r="D112" s="38"/>
      <c r="E112" s="38"/>
      <c r="F112" s="38"/>
      <c r="G112" s="38"/>
      <c r="H112" s="38"/>
      <c r="I112" s="38"/>
      <c r="J112" s="38"/>
      <c r="K112" s="38"/>
      <c r="L112" s="38"/>
      <c r="M112" s="38"/>
      <c r="N112" s="38"/>
      <c r="O112" s="38"/>
      <c r="P112" s="38"/>
      <c r="Q112" s="38"/>
      <c r="R112" s="38"/>
      <c r="S112" s="38"/>
      <c r="T112" s="38"/>
      <c r="U112" s="38"/>
      <c r="V112" s="38"/>
      <c r="W112" s="38"/>
      <c r="X112" s="38"/>
      <c r="Y112" s="38"/>
      <c r="Z112" s="38"/>
      <c r="AA112" s="38"/>
      <c r="AB112" s="38"/>
      <c r="AC112" s="38"/>
      <c r="AD112" s="38"/>
      <c r="AE112" s="38"/>
      <c r="AF112" s="38"/>
      <c r="AG112" s="38"/>
      <c r="AH112" s="38"/>
      <c r="AI112" s="38"/>
      <c r="AJ112" s="38"/>
      <c r="AK112" s="38"/>
      <c r="AL112" s="38"/>
      <c r="AM112" s="38"/>
      <c r="AN112" s="38"/>
      <c r="AO112" s="38"/>
      <c r="AP112" s="38"/>
      <c r="AQ112" s="38"/>
      <c r="AR112" s="38"/>
      <c r="AS112" s="38"/>
    </row>
    <row r="113" spans="1:45" ht="15" x14ac:dyDescent="0.25">
      <c r="A113" s="38"/>
      <c r="B113" s="38"/>
      <c r="C113" s="38"/>
      <c r="D113" s="38"/>
      <c r="E113" s="38"/>
      <c r="F113" s="38"/>
      <c r="G113" s="38"/>
      <c r="H113" s="38"/>
      <c r="I113" s="38"/>
      <c r="J113" s="38"/>
      <c r="K113" s="38"/>
      <c r="L113" s="38"/>
      <c r="M113" s="38"/>
      <c r="N113" s="38"/>
      <c r="O113" s="38"/>
      <c r="P113" s="38"/>
      <c r="Q113" s="38"/>
      <c r="R113" s="38"/>
      <c r="S113" s="38"/>
      <c r="T113" s="38"/>
      <c r="U113" s="38"/>
      <c r="V113" s="38"/>
      <c r="W113" s="38"/>
      <c r="X113" s="38"/>
      <c r="Y113" s="38"/>
      <c r="Z113" s="38"/>
      <c r="AA113" s="38"/>
      <c r="AB113" s="38"/>
      <c r="AC113" s="38"/>
      <c r="AD113" s="38"/>
      <c r="AE113" s="38"/>
      <c r="AF113" s="38"/>
      <c r="AG113" s="38"/>
      <c r="AH113" s="38"/>
      <c r="AI113" s="38"/>
      <c r="AJ113" s="38"/>
      <c r="AK113" s="38"/>
      <c r="AL113" s="38"/>
      <c r="AM113" s="38"/>
      <c r="AN113" s="38"/>
      <c r="AO113" s="38"/>
      <c r="AP113" s="38"/>
      <c r="AQ113" s="38"/>
      <c r="AR113" s="38"/>
      <c r="AS113" s="38"/>
    </row>
    <row r="114" spans="1:45" ht="15" x14ac:dyDescent="0.25">
      <c r="A114" s="38"/>
      <c r="B114" s="38"/>
      <c r="C114" s="38"/>
      <c r="D114" s="38"/>
      <c r="E114" s="38"/>
      <c r="F114" s="38"/>
      <c r="G114" s="38"/>
      <c r="H114" s="38"/>
      <c r="I114" s="38"/>
      <c r="J114" s="38"/>
      <c r="K114" s="38"/>
      <c r="L114" s="38"/>
      <c r="M114" s="38"/>
      <c r="N114" s="38"/>
      <c r="O114" s="38"/>
      <c r="P114" s="38"/>
      <c r="Q114" s="38"/>
      <c r="R114" s="38"/>
      <c r="S114" s="38"/>
      <c r="T114" s="38"/>
      <c r="U114" s="38"/>
      <c r="V114" s="38"/>
      <c r="W114" s="38"/>
      <c r="X114" s="38"/>
      <c r="Y114" s="38"/>
      <c r="Z114" s="38"/>
      <c r="AA114" s="38"/>
      <c r="AB114" s="38"/>
      <c r="AC114" s="38"/>
      <c r="AD114" s="38"/>
      <c r="AE114" s="38"/>
      <c r="AF114" s="38"/>
      <c r="AG114" s="38"/>
      <c r="AH114" s="38"/>
      <c r="AI114" s="38"/>
      <c r="AJ114" s="38"/>
      <c r="AK114" s="38"/>
      <c r="AL114" s="38"/>
      <c r="AM114" s="38"/>
      <c r="AN114" s="38"/>
      <c r="AO114" s="38"/>
      <c r="AP114" s="38"/>
      <c r="AQ114" s="38"/>
      <c r="AR114" s="38"/>
      <c r="AS114" s="38"/>
    </row>
    <row r="115" spans="1:45" ht="15" x14ac:dyDescent="0.25">
      <c r="A115" s="38"/>
      <c r="B115" s="38"/>
      <c r="C115" s="38"/>
      <c r="D115" s="38"/>
      <c r="E115" s="38"/>
      <c r="F115" s="38"/>
      <c r="G115" s="38"/>
      <c r="H115" s="38"/>
      <c r="I115" s="38"/>
      <c r="J115" s="38"/>
      <c r="K115" s="38"/>
      <c r="L115" s="38"/>
      <c r="M115" s="38"/>
      <c r="N115" s="38"/>
      <c r="O115" s="38"/>
      <c r="P115" s="38"/>
      <c r="Q115" s="38"/>
      <c r="R115" s="38"/>
      <c r="S115" s="38"/>
      <c r="T115" s="38"/>
      <c r="U115" s="38"/>
      <c r="V115" s="38"/>
      <c r="W115" s="38"/>
      <c r="X115" s="38"/>
      <c r="Y115" s="38"/>
      <c r="Z115" s="38"/>
      <c r="AA115" s="38"/>
      <c r="AB115" s="38"/>
      <c r="AC115" s="38"/>
      <c r="AD115" s="38"/>
      <c r="AE115" s="38"/>
      <c r="AF115" s="38"/>
      <c r="AG115" s="38"/>
      <c r="AH115" s="38"/>
      <c r="AI115" s="38"/>
      <c r="AJ115" s="38"/>
      <c r="AK115" s="38"/>
      <c r="AL115" s="38"/>
      <c r="AM115" s="38"/>
      <c r="AN115" s="38"/>
      <c r="AO115" s="38"/>
      <c r="AP115" s="38"/>
      <c r="AQ115" s="38"/>
      <c r="AR115" s="38"/>
      <c r="AS115" s="38"/>
    </row>
    <row r="116" spans="1:45" ht="15" x14ac:dyDescent="0.25">
      <c r="A116" s="38"/>
      <c r="B116" s="38"/>
      <c r="C116" s="38"/>
      <c r="D116" s="38"/>
      <c r="E116" s="38"/>
      <c r="F116" s="38"/>
      <c r="G116" s="38"/>
      <c r="H116" s="38"/>
      <c r="I116" s="38"/>
      <c r="J116" s="38"/>
      <c r="K116" s="38"/>
      <c r="L116" s="38"/>
      <c r="M116" s="38"/>
      <c r="N116" s="38"/>
      <c r="O116" s="38"/>
      <c r="P116" s="38"/>
      <c r="Q116" s="38"/>
      <c r="R116" s="38"/>
      <c r="S116" s="38"/>
      <c r="T116" s="38"/>
      <c r="U116" s="38"/>
      <c r="V116" s="38"/>
      <c r="W116" s="38"/>
      <c r="X116" s="38"/>
      <c r="Y116" s="38"/>
      <c r="Z116" s="38"/>
      <c r="AA116" s="38"/>
      <c r="AB116" s="38"/>
      <c r="AC116" s="38"/>
      <c r="AD116" s="38"/>
      <c r="AE116" s="38"/>
      <c r="AF116" s="38"/>
      <c r="AG116" s="38"/>
      <c r="AH116" s="38"/>
      <c r="AI116" s="38"/>
      <c r="AJ116" s="38"/>
      <c r="AK116" s="38"/>
      <c r="AL116" s="38"/>
      <c r="AM116" s="38"/>
      <c r="AN116" s="38"/>
      <c r="AO116" s="38"/>
      <c r="AP116" s="38"/>
      <c r="AQ116" s="38"/>
      <c r="AR116" s="38"/>
      <c r="AS116" s="38"/>
    </row>
    <row r="117" spans="1:45" ht="15" x14ac:dyDescent="0.25">
      <c r="A117" s="38"/>
      <c r="B117" s="38"/>
      <c r="C117" s="38"/>
      <c r="D117" s="38"/>
      <c r="E117" s="38"/>
      <c r="F117" s="38"/>
      <c r="G117" s="38"/>
      <c r="H117" s="38"/>
      <c r="I117" s="38"/>
      <c r="J117" s="38"/>
      <c r="K117" s="38"/>
      <c r="L117" s="38"/>
      <c r="M117" s="38"/>
      <c r="N117" s="38"/>
      <c r="O117" s="38"/>
      <c r="P117" s="38"/>
      <c r="Q117" s="38"/>
      <c r="R117" s="38"/>
      <c r="S117" s="38"/>
      <c r="T117" s="38"/>
      <c r="U117" s="38"/>
      <c r="V117" s="38"/>
      <c r="W117" s="38"/>
      <c r="X117" s="38"/>
      <c r="Y117" s="38"/>
      <c r="Z117" s="38"/>
      <c r="AA117" s="38"/>
      <c r="AB117" s="38"/>
      <c r="AC117" s="38"/>
      <c r="AD117" s="38"/>
      <c r="AE117" s="38"/>
      <c r="AF117" s="38"/>
      <c r="AG117" s="38"/>
      <c r="AH117" s="38"/>
      <c r="AI117" s="38"/>
      <c r="AJ117" s="38"/>
      <c r="AK117" s="38"/>
      <c r="AL117" s="38"/>
      <c r="AM117" s="38"/>
      <c r="AN117" s="38"/>
      <c r="AO117" s="38"/>
      <c r="AP117" s="38"/>
      <c r="AQ117" s="38"/>
      <c r="AR117" s="38"/>
      <c r="AS117" s="38"/>
    </row>
    <row r="118" spans="1:45" ht="15" x14ac:dyDescent="0.25">
      <c r="A118" s="38"/>
      <c r="B118" s="38"/>
      <c r="C118" s="38"/>
      <c r="D118" s="38"/>
      <c r="E118" s="38"/>
      <c r="F118" s="38"/>
      <c r="G118" s="38"/>
      <c r="H118" s="38"/>
      <c r="I118" s="38"/>
      <c r="J118" s="38"/>
      <c r="K118" s="38"/>
      <c r="L118" s="38"/>
      <c r="M118" s="38"/>
      <c r="N118" s="38"/>
      <c r="O118" s="38"/>
      <c r="P118" s="38"/>
      <c r="Q118" s="38"/>
      <c r="R118" s="38"/>
      <c r="S118" s="38"/>
      <c r="T118" s="38"/>
      <c r="U118" s="38"/>
      <c r="V118" s="38"/>
      <c r="W118" s="38"/>
      <c r="X118" s="38"/>
      <c r="Y118" s="38"/>
      <c r="Z118" s="38"/>
      <c r="AA118" s="38"/>
      <c r="AB118" s="38"/>
      <c r="AC118" s="38"/>
      <c r="AD118" s="38"/>
      <c r="AE118" s="38"/>
      <c r="AF118" s="38"/>
      <c r="AG118" s="38"/>
      <c r="AH118" s="38"/>
      <c r="AI118" s="38"/>
      <c r="AJ118" s="38"/>
      <c r="AK118" s="38"/>
      <c r="AL118" s="38"/>
      <c r="AM118" s="38"/>
      <c r="AN118" s="38"/>
      <c r="AO118" s="38"/>
      <c r="AP118" s="38"/>
      <c r="AQ118" s="38"/>
      <c r="AR118" s="38"/>
      <c r="AS118" s="38"/>
    </row>
    <row r="119" spans="1:45" ht="15" x14ac:dyDescent="0.25">
      <c r="A119" s="38"/>
      <c r="B119" s="38"/>
      <c r="C119" s="38"/>
      <c r="D119" s="38"/>
      <c r="E119" s="38"/>
      <c r="F119" s="38"/>
      <c r="G119" s="38"/>
      <c r="H119" s="38"/>
      <c r="I119" s="38"/>
      <c r="J119" s="38"/>
      <c r="K119" s="38"/>
      <c r="L119" s="38"/>
      <c r="M119" s="38"/>
      <c r="N119" s="38"/>
      <c r="O119" s="38"/>
      <c r="P119" s="38"/>
      <c r="Q119" s="38"/>
      <c r="R119" s="38"/>
      <c r="S119" s="38"/>
      <c r="T119" s="38"/>
      <c r="U119" s="38"/>
      <c r="V119" s="38"/>
      <c r="W119" s="38"/>
      <c r="X119" s="38"/>
      <c r="Y119" s="38"/>
      <c r="Z119" s="38"/>
      <c r="AA119" s="38"/>
      <c r="AB119" s="38"/>
      <c r="AC119" s="38"/>
      <c r="AD119" s="38"/>
      <c r="AE119" s="38"/>
      <c r="AF119" s="38"/>
      <c r="AG119" s="38"/>
      <c r="AH119" s="38"/>
      <c r="AI119" s="38"/>
      <c r="AJ119" s="38"/>
      <c r="AK119" s="38"/>
      <c r="AL119" s="38"/>
      <c r="AM119" s="38"/>
      <c r="AN119" s="38"/>
      <c r="AO119" s="38"/>
      <c r="AP119" s="38"/>
      <c r="AQ119" s="38"/>
      <c r="AR119" s="38"/>
      <c r="AS119" s="38"/>
    </row>
    <row r="120" spans="1:45" ht="15" x14ac:dyDescent="0.25">
      <c r="A120" s="38"/>
      <c r="B120" s="38"/>
      <c r="C120" s="38"/>
      <c r="D120" s="38"/>
      <c r="E120" s="38"/>
      <c r="F120" s="38"/>
      <c r="G120" s="38"/>
      <c r="H120" s="38"/>
      <c r="I120" s="38"/>
      <c r="J120" s="38"/>
      <c r="K120" s="38"/>
      <c r="L120" s="38"/>
      <c r="M120" s="38"/>
      <c r="N120" s="38"/>
      <c r="O120" s="38"/>
      <c r="P120" s="38"/>
      <c r="Q120" s="38"/>
      <c r="R120" s="38"/>
      <c r="S120" s="38"/>
      <c r="T120" s="38"/>
      <c r="U120" s="38"/>
      <c r="V120" s="38"/>
      <c r="W120" s="38"/>
      <c r="X120" s="38"/>
      <c r="Y120" s="38"/>
      <c r="Z120" s="38"/>
      <c r="AA120" s="38"/>
      <c r="AB120" s="38"/>
      <c r="AC120" s="38"/>
      <c r="AD120" s="38"/>
      <c r="AE120" s="38"/>
      <c r="AF120" s="38"/>
      <c r="AG120" s="38"/>
      <c r="AH120" s="38"/>
      <c r="AI120" s="38"/>
      <c r="AJ120" s="38"/>
      <c r="AK120" s="38"/>
      <c r="AL120" s="38"/>
      <c r="AM120" s="38"/>
      <c r="AN120" s="38"/>
      <c r="AO120" s="38"/>
      <c r="AP120" s="38"/>
      <c r="AQ120" s="38"/>
      <c r="AR120" s="38"/>
      <c r="AS120" s="38"/>
    </row>
    <row r="121" spans="1:45" ht="15" x14ac:dyDescent="0.25">
      <c r="A121" s="38"/>
      <c r="B121" s="38"/>
      <c r="C121" s="38"/>
      <c r="D121" s="38"/>
      <c r="E121" s="38"/>
      <c r="F121" s="38"/>
      <c r="G121" s="38"/>
      <c r="H121" s="38"/>
      <c r="I121" s="38"/>
      <c r="J121" s="38"/>
      <c r="K121" s="38"/>
      <c r="L121" s="38"/>
      <c r="M121" s="38"/>
      <c r="N121" s="38"/>
      <c r="O121" s="38"/>
      <c r="P121" s="38"/>
      <c r="Q121" s="38"/>
      <c r="R121" s="38"/>
      <c r="S121" s="38"/>
      <c r="T121" s="38"/>
      <c r="U121" s="38"/>
      <c r="V121" s="38"/>
      <c r="W121" s="38"/>
      <c r="X121" s="38"/>
      <c r="Y121" s="38"/>
      <c r="Z121" s="38"/>
      <c r="AA121" s="38"/>
      <c r="AB121" s="38"/>
      <c r="AC121" s="38"/>
      <c r="AD121" s="38"/>
      <c r="AE121" s="38"/>
      <c r="AF121" s="38"/>
      <c r="AG121" s="38"/>
      <c r="AH121" s="38"/>
      <c r="AI121" s="38"/>
      <c r="AJ121" s="38"/>
      <c r="AK121" s="38"/>
      <c r="AL121" s="38"/>
      <c r="AM121" s="38"/>
      <c r="AN121" s="38"/>
      <c r="AO121" s="38"/>
      <c r="AP121" s="38"/>
      <c r="AQ121" s="38"/>
      <c r="AR121" s="38"/>
      <c r="AS121" s="38"/>
    </row>
    <row r="122" spans="1:45" ht="15" x14ac:dyDescent="0.25">
      <c r="A122" s="38"/>
      <c r="B122" s="38"/>
      <c r="C122" s="38"/>
      <c r="D122" s="38"/>
      <c r="E122" s="38"/>
      <c r="F122" s="38"/>
      <c r="G122" s="38"/>
      <c r="H122" s="38"/>
      <c r="I122" s="38"/>
      <c r="J122" s="38"/>
      <c r="K122" s="38"/>
      <c r="L122" s="38"/>
      <c r="M122" s="38"/>
      <c r="N122" s="38"/>
      <c r="O122" s="38"/>
      <c r="P122" s="38"/>
      <c r="Q122" s="38"/>
      <c r="R122" s="38"/>
      <c r="S122" s="38"/>
      <c r="T122" s="38"/>
      <c r="U122" s="38"/>
      <c r="V122" s="38"/>
      <c r="W122" s="38"/>
      <c r="X122" s="38"/>
      <c r="Y122" s="38"/>
      <c r="Z122" s="38"/>
      <c r="AA122" s="38"/>
      <c r="AB122" s="38"/>
      <c r="AC122" s="38"/>
      <c r="AD122" s="38"/>
      <c r="AE122" s="38"/>
      <c r="AF122" s="38"/>
      <c r="AG122" s="38"/>
      <c r="AH122" s="38"/>
      <c r="AI122" s="38"/>
      <c r="AJ122" s="38"/>
      <c r="AK122" s="38"/>
      <c r="AL122" s="38"/>
      <c r="AM122" s="38"/>
      <c r="AN122" s="38"/>
      <c r="AO122" s="38"/>
      <c r="AP122" s="38"/>
      <c r="AQ122" s="38"/>
      <c r="AR122" s="38"/>
      <c r="AS122" s="38"/>
    </row>
    <row r="123" spans="1:45" ht="15" x14ac:dyDescent="0.25">
      <c r="A123" s="38"/>
      <c r="B123" s="38"/>
      <c r="C123" s="38"/>
      <c r="D123" s="38"/>
      <c r="E123" s="38"/>
      <c r="F123" s="38"/>
      <c r="G123" s="38"/>
      <c r="H123" s="38"/>
      <c r="I123" s="38"/>
      <c r="J123" s="38"/>
      <c r="K123" s="38"/>
      <c r="L123" s="38"/>
      <c r="M123" s="38"/>
      <c r="N123" s="38"/>
      <c r="O123" s="38"/>
      <c r="P123" s="38"/>
      <c r="Q123" s="38"/>
      <c r="R123" s="38"/>
      <c r="S123" s="38"/>
      <c r="T123" s="38"/>
      <c r="U123" s="38"/>
      <c r="V123" s="38"/>
      <c r="W123" s="38"/>
      <c r="X123" s="38"/>
      <c r="Y123" s="38"/>
      <c r="Z123" s="38"/>
      <c r="AA123" s="38"/>
      <c r="AB123" s="38"/>
      <c r="AC123" s="38"/>
      <c r="AD123" s="38"/>
      <c r="AE123" s="38"/>
      <c r="AF123" s="38"/>
      <c r="AG123" s="38"/>
      <c r="AH123" s="38"/>
      <c r="AI123" s="38"/>
      <c r="AJ123" s="38"/>
      <c r="AK123" s="38"/>
      <c r="AL123" s="38"/>
      <c r="AM123" s="38"/>
      <c r="AN123" s="38"/>
      <c r="AO123" s="38"/>
      <c r="AP123" s="38"/>
      <c r="AQ123" s="38"/>
      <c r="AR123" s="38"/>
      <c r="AS123" s="38"/>
    </row>
    <row r="124" spans="1:45" ht="15" x14ac:dyDescent="0.25">
      <c r="A124" s="38"/>
      <c r="B124" s="38"/>
      <c r="C124" s="38"/>
      <c r="D124" s="38"/>
      <c r="E124" s="38"/>
      <c r="F124" s="38"/>
      <c r="G124" s="38"/>
      <c r="H124" s="38"/>
      <c r="I124" s="38"/>
      <c r="J124" s="38"/>
      <c r="K124" s="38"/>
      <c r="L124" s="38"/>
      <c r="M124" s="38"/>
      <c r="N124" s="38"/>
      <c r="O124" s="38"/>
      <c r="P124" s="38"/>
      <c r="Q124" s="38"/>
      <c r="R124" s="38"/>
      <c r="S124" s="38"/>
      <c r="T124" s="38"/>
      <c r="U124" s="38"/>
      <c r="V124" s="38"/>
      <c r="W124" s="38"/>
      <c r="X124" s="38"/>
      <c r="Y124" s="38"/>
      <c r="Z124" s="38"/>
      <c r="AA124" s="38"/>
      <c r="AB124" s="38"/>
      <c r="AC124" s="38"/>
      <c r="AD124" s="38"/>
      <c r="AE124" s="38"/>
      <c r="AF124" s="38"/>
      <c r="AG124" s="38"/>
      <c r="AH124" s="38"/>
      <c r="AI124" s="38"/>
      <c r="AJ124" s="38"/>
      <c r="AK124" s="38"/>
      <c r="AL124" s="38"/>
      <c r="AM124" s="38"/>
      <c r="AN124" s="38"/>
      <c r="AO124" s="38"/>
      <c r="AP124" s="38"/>
      <c r="AQ124" s="38"/>
      <c r="AR124" s="38"/>
      <c r="AS124" s="38"/>
    </row>
  </sheetData>
  <mergeCells count="1">
    <mergeCell ref="B2:I3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A02631-0CED-4D77-B551-30547D124F8E}">
  <sheetPr>
    <tabColor rgb="FFCCFFFF"/>
  </sheetPr>
  <dimension ref="A1:Q111"/>
  <sheetViews>
    <sheetView topLeftCell="B15" zoomScale="90" zoomScaleNormal="90" workbookViewId="0">
      <selection activeCell="D18" sqref="D18"/>
    </sheetView>
  </sheetViews>
  <sheetFormatPr baseColWidth="10" defaultRowHeight="15" x14ac:dyDescent="0.25"/>
  <cols>
    <col min="3" max="3" width="27.7109375" customWidth="1"/>
    <col min="4" max="4" width="18" customWidth="1"/>
    <col min="5" max="5" width="14" customWidth="1"/>
    <col min="6" max="6" width="14.42578125" customWidth="1"/>
    <col min="7" max="7" width="15" customWidth="1"/>
    <col min="8" max="8" width="14.140625" customWidth="1"/>
    <col min="9" max="9" width="13.7109375" customWidth="1"/>
  </cols>
  <sheetData>
    <row r="1" spans="1:17" x14ac:dyDescent="0.25">
      <c r="A1" s="41"/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</row>
    <row r="2" spans="1:17" ht="16.5" x14ac:dyDescent="0.3">
      <c r="A2" s="41"/>
      <c r="B2" s="41"/>
      <c r="C2" s="42"/>
      <c r="D2" s="42"/>
      <c r="E2" s="42"/>
      <c r="F2" s="42"/>
      <c r="G2" s="42"/>
      <c r="H2" s="42"/>
      <c r="I2" s="42"/>
      <c r="J2" s="41"/>
      <c r="K2" s="41"/>
      <c r="L2" s="41"/>
      <c r="M2" s="41"/>
      <c r="N2" s="41"/>
      <c r="O2" s="41"/>
      <c r="P2" s="41"/>
      <c r="Q2" s="41"/>
    </row>
    <row r="3" spans="1:17" ht="16.5" x14ac:dyDescent="0.3">
      <c r="A3" s="41"/>
      <c r="B3" s="41"/>
      <c r="C3" s="42"/>
      <c r="D3" s="42"/>
      <c r="E3" s="42"/>
      <c r="F3" s="42"/>
      <c r="G3" s="42"/>
      <c r="H3" s="42"/>
      <c r="I3" s="42"/>
      <c r="J3" s="41"/>
      <c r="K3" s="41"/>
      <c r="L3" s="41"/>
      <c r="M3" s="41"/>
      <c r="N3" s="41"/>
      <c r="O3" s="41"/>
      <c r="P3" s="41"/>
      <c r="Q3" s="41"/>
    </row>
    <row r="4" spans="1:17" ht="16.5" x14ac:dyDescent="0.3">
      <c r="A4" s="41"/>
      <c r="B4" s="41"/>
      <c r="C4" s="42"/>
      <c r="D4" s="42"/>
      <c r="E4" s="42"/>
      <c r="F4" s="42"/>
      <c r="G4" s="42"/>
      <c r="H4" s="42"/>
      <c r="I4" s="42"/>
      <c r="J4" s="41"/>
      <c r="K4" s="41"/>
      <c r="L4" s="41"/>
      <c r="M4" s="41"/>
      <c r="N4" s="41"/>
      <c r="O4" s="41"/>
      <c r="P4" s="41"/>
      <c r="Q4" s="41"/>
    </row>
    <row r="5" spans="1:17" ht="16.5" x14ac:dyDescent="0.25">
      <c r="A5" s="41"/>
      <c r="B5" s="41"/>
      <c r="C5" s="51"/>
      <c r="D5" s="51"/>
      <c r="E5" s="51"/>
      <c r="F5" s="51"/>
      <c r="G5" s="51"/>
      <c r="H5" s="51"/>
      <c r="I5" s="51"/>
      <c r="J5" s="41"/>
      <c r="K5" s="41"/>
      <c r="L5" s="41"/>
      <c r="M5" s="41"/>
      <c r="N5" s="41"/>
      <c r="O5" s="41"/>
      <c r="P5" s="41"/>
      <c r="Q5" s="41"/>
    </row>
    <row r="6" spans="1:17" ht="17.25" thickBot="1" x14ac:dyDescent="0.3">
      <c r="A6" s="41"/>
      <c r="B6" s="41"/>
      <c r="C6" s="51"/>
      <c r="D6" s="51"/>
      <c r="E6" s="51"/>
      <c r="F6" s="51"/>
      <c r="G6" s="51"/>
      <c r="H6" s="51"/>
      <c r="I6" s="51"/>
      <c r="J6" s="41"/>
      <c r="K6" s="41"/>
      <c r="L6" s="41"/>
      <c r="M6" s="41"/>
      <c r="N6" s="41"/>
      <c r="O6" s="41"/>
      <c r="P6" s="41"/>
      <c r="Q6" s="41"/>
    </row>
    <row r="7" spans="1:17" ht="34.5" customHeight="1" x14ac:dyDescent="0.25">
      <c r="A7" s="41"/>
      <c r="B7" s="41"/>
      <c r="C7" s="52" t="s">
        <v>63</v>
      </c>
      <c r="D7" s="39">
        <v>1</v>
      </c>
      <c r="E7" s="39">
        <v>2</v>
      </c>
      <c r="F7" s="39">
        <v>3</v>
      </c>
      <c r="G7" s="39">
        <v>4</v>
      </c>
      <c r="H7" s="39">
        <v>5</v>
      </c>
      <c r="I7" s="39">
        <v>6</v>
      </c>
      <c r="J7" s="41"/>
      <c r="K7" s="41"/>
      <c r="L7" s="41"/>
      <c r="M7" s="41"/>
      <c r="N7" s="41"/>
      <c r="O7" s="41"/>
      <c r="P7" s="41"/>
      <c r="Q7" s="41"/>
    </row>
    <row r="8" spans="1:17" ht="16.5" x14ac:dyDescent="0.25">
      <c r="A8" s="41"/>
      <c r="B8" s="41"/>
      <c r="C8" s="53" t="s">
        <v>26</v>
      </c>
      <c r="D8" s="55">
        <f>Datos!C6</f>
        <v>50000</v>
      </c>
      <c r="E8" s="55">
        <f>D8+(D8*0.03)</f>
        <v>51500</v>
      </c>
      <c r="F8" s="55">
        <f>E8+(E8*0.03)</f>
        <v>53045</v>
      </c>
      <c r="G8" s="55">
        <f>F8+(F8*0.03)</f>
        <v>54636.35</v>
      </c>
      <c r="H8" s="55">
        <f>G8+(G8*0.03)</f>
        <v>56275.440499999997</v>
      </c>
      <c r="I8" s="56">
        <f>H8+(H8*0.03)</f>
        <v>57963.703714999996</v>
      </c>
      <c r="J8" s="41"/>
      <c r="K8" s="41"/>
      <c r="L8" s="41"/>
      <c r="M8" s="41"/>
      <c r="N8" s="41"/>
      <c r="O8" s="41"/>
      <c r="P8" s="41"/>
      <c r="Q8" s="41"/>
    </row>
    <row r="9" spans="1:17" ht="16.5" x14ac:dyDescent="0.25">
      <c r="A9" s="41"/>
      <c r="B9" s="41"/>
      <c r="C9" s="53" t="s">
        <v>64</v>
      </c>
      <c r="D9" s="57">
        <f>Datos!C7</f>
        <v>10</v>
      </c>
      <c r="E9" s="57">
        <f>D9+(0.02*D9)</f>
        <v>10.199999999999999</v>
      </c>
      <c r="F9" s="57">
        <f>E9+(0.02*E9)</f>
        <v>10.404</v>
      </c>
      <c r="G9" s="57">
        <f>F9+(0.02*F9)</f>
        <v>10.612080000000001</v>
      </c>
      <c r="H9" s="57">
        <f>G9+(0.02*G9)</f>
        <v>10.824321600000001</v>
      </c>
      <c r="I9" s="58">
        <f>H9+(0.02*H9)</f>
        <v>11.040808032000001</v>
      </c>
      <c r="J9" s="41"/>
      <c r="K9" s="41"/>
      <c r="L9" s="41"/>
      <c r="M9" s="41"/>
      <c r="N9" s="41"/>
      <c r="O9" s="41"/>
      <c r="P9" s="41"/>
      <c r="Q9" s="41"/>
    </row>
    <row r="10" spans="1:17" ht="17.25" thickBot="1" x14ac:dyDescent="0.3">
      <c r="A10" s="41"/>
      <c r="B10" s="41"/>
      <c r="C10" s="54" t="s">
        <v>65</v>
      </c>
      <c r="D10" s="59">
        <f t="shared" ref="D10:I10" si="0">D8*D9</f>
        <v>500000</v>
      </c>
      <c r="E10" s="59">
        <f t="shared" si="0"/>
        <v>525300</v>
      </c>
      <c r="F10" s="59">
        <f t="shared" si="0"/>
        <v>551880.18000000005</v>
      </c>
      <c r="G10" s="59">
        <f t="shared" si="0"/>
        <v>579805.31710800005</v>
      </c>
      <c r="H10" s="59">
        <f t="shared" si="0"/>
        <v>609143.46615366486</v>
      </c>
      <c r="I10" s="60">
        <f t="shared" si="0"/>
        <v>639966.12554104021</v>
      </c>
      <c r="J10" s="41"/>
      <c r="K10" s="41"/>
      <c r="L10" s="41"/>
      <c r="M10" s="41"/>
      <c r="N10" s="41"/>
      <c r="O10" s="41"/>
      <c r="P10" s="41"/>
      <c r="Q10" s="41"/>
    </row>
    <row r="11" spans="1:17" ht="16.5" x14ac:dyDescent="0.25">
      <c r="A11" s="41"/>
      <c r="B11" s="41"/>
      <c r="C11" s="51"/>
      <c r="D11" s="61"/>
      <c r="E11" s="61"/>
      <c r="F11" s="61"/>
      <c r="G11" s="61"/>
      <c r="H11" s="61"/>
      <c r="I11" s="61"/>
      <c r="J11" s="41"/>
      <c r="K11" s="41"/>
      <c r="L11" s="41"/>
      <c r="M11" s="41"/>
      <c r="N11" s="41"/>
      <c r="O11" s="41"/>
      <c r="P11" s="41"/>
      <c r="Q11" s="41"/>
    </row>
    <row r="12" spans="1:17" ht="16.5" x14ac:dyDescent="0.25">
      <c r="A12" s="41"/>
      <c r="B12" s="41"/>
      <c r="C12" s="51"/>
      <c r="D12" s="61"/>
      <c r="E12" s="61"/>
      <c r="F12" s="61"/>
      <c r="G12" s="61"/>
      <c r="H12" s="61"/>
      <c r="I12" s="61"/>
      <c r="J12" s="41"/>
      <c r="K12" s="41"/>
      <c r="L12" s="41"/>
      <c r="M12" s="41"/>
      <c r="N12" s="41"/>
      <c r="O12" s="41"/>
      <c r="P12" s="41"/>
      <c r="Q12" s="41"/>
    </row>
    <row r="13" spans="1:17" ht="17.25" thickBot="1" x14ac:dyDescent="0.3">
      <c r="A13" s="41"/>
      <c r="B13" s="41"/>
      <c r="C13" s="51"/>
      <c r="D13" s="61"/>
      <c r="E13" s="61"/>
      <c r="F13" s="61"/>
      <c r="G13" s="61"/>
      <c r="H13" s="61"/>
      <c r="I13" s="61"/>
      <c r="J13" s="41"/>
      <c r="K13" s="41"/>
      <c r="L13" s="41"/>
      <c r="M13" s="41"/>
      <c r="N13" s="41"/>
      <c r="O13" s="41"/>
      <c r="P13" s="41"/>
      <c r="Q13" s="41"/>
    </row>
    <row r="14" spans="1:17" ht="34.5" customHeight="1" x14ac:dyDescent="0.25">
      <c r="A14" s="41"/>
      <c r="B14" s="41"/>
      <c r="C14" s="52" t="s">
        <v>66</v>
      </c>
      <c r="D14" s="39">
        <v>1</v>
      </c>
      <c r="E14" s="39">
        <v>2</v>
      </c>
      <c r="F14" s="39">
        <v>3</v>
      </c>
      <c r="G14" s="39">
        <v>4</v>
      </c>
      <c r="H14" s="39">
        <v>5</v>
      </c>
      <c r="I14" s="39">
        <v>6</v>
      </c>
      <c r="J14" s="41"/>
      <c r="K14" s="41"/>
      <c r="L14" s="41"/>
      <c r="M14" s="41"/>
      <c r="N14" s="41"/>
      <c r="O14" s="41"/>
      <c r="P14" s="41"/>
      <c r="Q14" s="41"/>
    </row>
    <row r="15" spans="1:17" ht="16.5" x14ac:dyDescent="0.25">
      <c r="A15" s="41"/>
      <c r="B15" s="41"/>
      <c r="C15" s="53" t="s">
        <v>53</v>
      </c>
      <c r="D15" s="57">
        <f>D10</f>
        <v>500000</v>
      </c>
      <c r="E15" s="57">
        <f t="shared" ref="E15:I15" si="1">E10</f>
        <v>525300</v>
      </c>
      <c r="F15" s="57">
        <f t="shared" si="1"/>
        <v>551880.18000000005</v>
      </c>
      <c r="G15" s="57">
        <f t="shared" si="1"/>
        <v>579805.31710800005</v>
      </c>
      <c r="H15" s="57">
        <f t="shared" si="1"/>
        <v>609143.46615366486</v>
      </c>
      <c r="I15" s="58">
        <f t="shared" si="1"/>
        <v>639966.12554104021</v>
      </c>
      <c r="J15" s="41"/>
      <c r="K15" s="41"/>
      <c r="L15" s="41"/>
      <c r="M15" s="41"/>
      <c r="N15" s="41"/>
      <c r="O15" s="41"/>
      <c r="P15" s="41"/>
      <c r="Q15" s="41"/>
    </row>
    <row r="16" spans="1:17" ht="16.5" x14ac:dyDescent="0.25">
      <c r="A16" s="41"/>
      <c r="B16" s="41"/>
      <c r="C16" s="53" t="s">
        <v>67</v>
      </c>
      <c r="D16" s="57">
        <f t="shared" ref="D16:I16" si="2">D15*0.4</f>
        <v>200000</v>
      </c>
      <c r="E16" s="57">
        <f t="shared" si="2"/>
        <v>210120</v>
      </c>
      <c r="F16" s="57">
        <f t="shared" si="2"/>
        <v>220752.07200000004</v>
      </c>
      <c r="G16" s="57">
        <f t="shared" si="2"/>
        <v>231922.12684320004</v>
      </c>
      <c r="H16" s="57">
        <f t="shared" si="2"/>
        <v>243657.38646146597</v>
      </c>
      <c r="I16" s="58">
        <f t="shared" si="2"/>
        <v>255986.45021641609</v>
      </c>
      <c r="J16" s="41"/>
      <c r="K16" s="41"/>
      <c r="L16" s="41"/>
      <c r="M16" s="41"/>
      <c r="N16" s="41"/>
      <c r="O16" s="41"/>
      <c r="P16" s="41"/>
      <c r="Q16" s="41"/>
    </row>
    <row r="17" spans="1:17" ht="17.25" customHeight="1" x14ac:dyDescent="0.25">
      <c r="A17" s="41"/>
      <c r="B17" s="41"/>
      <c r="C17" s="53" t="s">
        <v>68</v>
      </c>
      <c r="D17" s="57">
        <v>360000</v>
      </c>
      <c r="E17" s="57">
        <f>D15*0.6</f>
        <v>300000</v>
      </c>
      <c r="F17" s="57">
        <f>E15*0.6</f>
        <v>315180</v>
      </c>
      <c r="G17" s="57">
        <f>F15*0.6</f>
        <v>331128.10800000001</v>
      </c>
      <c r="H17" s="57">
        <f>G15*0.6</f>
        <v>347883.19026480004</v>
      </c>
      <c r="I17" s="58">
        <f>H15*0.6</f>
        <v>365486.07969219889</v>
      </c>
      <c r="J17" s="41"/>
      <c r="K17" s="41"/>
      <c r="L17" s="41"/>
      <c r="M17" s="41"/>
      <c r="N17" s="41"/>
      <c r="O17" s="41"/>
      <c r="P17" s="41"/>
      <c r="Q17" s="41"/>
    </row>
    <row r="18" spans="1:17" ht="17.25" thickBot="1" x14ac:dyDescent="0.3">
      <c r="A18" s="41"/>
      <c r="B18" s="41"/>
      <c r="C18" s="54" t="s">
        <v>69</v>
      </c>
      <c r="D18" s="59">
        <f t="shared" ref="D18:I18" si="3">D16+D17</f>
        <v>560000</v>
      </c>
      <c r="E18" s="59">
        <f t="shared" si="3"/>
        <v>510120</v>
      </c>
      <c r="F18" s="59">
        <f t="shared" si="3"/>
        <v>535932.07200000004</v>
      </c>
      <c r="G18" s="59">
        <f t="shared" si="3"/>
        <v>563050.23484320007</v>
      </c>
      <c r="H18" s="59">
        <f t="shared" si="3"/>
        <v>591540.57672626595</v>
      </c>
      <c r="I18" s="60">
        <f t="shared" si="3"/>
        <v>621472.52990861493</v>
      </c>
      <c r="J18" s="41"/>
      <c r="K18" s="41"/>
      <c r="L18" s="41"/>
      <c r="M18" s="41"/>
      <c r="N18" s="41"/>
      <c r="O18" s="41"/>
      <c r="P18" s="41"/>
      <c r="Q18" s="41"/>
    </row>
    <row r="19" spans="1:17" ht="16.5" x14ac:dyDescent="0.25">
      <c r="A19" s="41"/>
      <c r="B19" s="41"/>
      <c r="C19" s="51"/>
      <c r="D19" s="61"/>
      <c r="E19" s="61"/>
      <c r="F19" s="61"/>
      <c r="G19" s="61"/>
      <c r="H19" s="61"/>
      <c r="I19" s="61"/>
      <c r="J19" s="41"/>
      <c r="K19" s="41"/>
      <c r="L19" s="41"/>
      <c r="M19" s="41"/>
      <c r="N19" s="41"/>
      <c r="O19" s="41"/>
      <c r="P19" s="41"/>
      <c r="Q19" s="41"/>
    </row>
    <row r="20" spans="1:17" ht="16.5" x14ac:dyDescent="0.25">
      <c r="A20" s="41"/>
      <c r="B20" s="41"/>
      <c r="C20" s="51"/>
      <c r="D20" s="61"/>
      <c r="E20" s="61"/>
      <c r="F20" s="61"/>
      <c r="G20" s="61"/>
      <c r="H20" s="61"/>
      <c r="I20" s="61"/>
      <c r="J20" s="41"/>
      <c r="K20" s="41"/>
      <c r="L20" s="41"/>
      <c r="M20" s="41"/>
      <c r="N20" s="41"/>
      <c r="O20" s="41"/>
      <c r="P20" s="41"/>
      <c r="Q20" s="41"/>
    </row>
    <row r="21" spans="1:17" ht="17.25" thickBot="1" x14ac:dyDescent="0.3">
      <c r="A21" s="41"/>
      <c r="B21" s="41"/>
      <c r="C21" s="51"/>
      <c r="D21" s="61"/>
      <c r="E21" s="61"/>
      <c r="F21" s="61"/>
      <c r="G21" s="61"/>
      <c r="H21" s="61"/>
      <c r="I21" s="61"/>
      <c r="J21" s="41"/>
      <c r="K21" s="41"/>
      <c r="L21" s="41"/>
      <c r="M21" s="41"/>
      <c r="N21" s="41"/>
      <c r="O21" s="41"/>
      <c r="P21" s="41"/>
      <c r="Q21" s="41"/>
    </row>
    <row r="22" spans="1:17" ht="36" customHeight="1" x14ac:dyDescent="0.25">
      <c r="A22" s="41"/>
      <c r="B22" s="41"/>
      <c r="C22" s="52" t="s">
        <v>70</v>
      </c>
      <c r="D22" s="39">
        <v>1</v>
      </c>
      <c r="E22" s="39">
        <v>2</v>
      </c>
      <c r="F22" s="39">
        <v>3</v>
      </c>
      <c r="G22" s="39">
        <v>4</v>
      </c>
      <c r="H22" s="39">
        <v>5</v>
      </c>
      <c r="I22" s="39">
        <v>6</v>
      </c>
      <c r="J22" s="41"/>
      <c r="K22" s="41"/>
      <c r="L22" s="41"/>
      <c r="M22" s="41"/>
      <c r="N22" s="41"/>
      <c r="O22" s="41"/>
      <c r="P22" s="41"/>
      <c r="Q22" s="41"/>
    </row>
    <row r="23" spans="1:17" ht="16.5" x14ac:dyDescent="0.25">
      <c r="A23" s="41"/>
      <c r="B23" s="41"/>
      <c r="C23" s="53" t="s">
        <v>26</v>
      </c>
      <c r="D23" s="55">
        <f>D8</f>
        <v>50000</v>
      </c>
      <c r="E23" s="55">
        <f>D23+(0.03*D23)</f>
        <v>51500</v>
      </c>
      <c r="F23" s="55">
        <f>E23+(0.03*E23)</f>
        <v>53045</v>
      </c>
      <c r="G23" s="55">
        <f>F23+(0.03*F23)</f>
        <v>54636.35</v>
      </c>
      <c r="H23" s="55">
        <f>G23+(0.03*G23)</f>
        <v>56275.440499999997</v>
      </c>
      <c r="I23" s="56">
        <f>H23+(0.03*H23)</f>
        <v>57963.703714999996</v>
      </c>
      <c r="J23" s="41"/>
      <c r="K23" s="41"/>
      <c r="L23" s="41"/>
      <c r="M23" s="41"/>
      <c r="N23" s="41"/>
      <c r="O23" s="41"/>
      <c r="P23" s="41"/>
      <c r="Q23" s="41"/>
    </row>
    <row r="24" spans="1:17" ht="16.5" x14ac:dyDescent="0.25">
      <c r="A24" s="41"/>
      <c r="B24" s="41"/>
      <c r="C24" s="53" t="s">
        <v>71</v>
      </c>
      <c r="D24" s="57">
        <f>Datos!C8</f>
        <v>3</v>
      </c>
      <c r="E24" s="57">
        <f>D24+(0.01*D24)</f>
        <v>3.03</v>
      </c>
      <c r="F24" s="57">
        <f>E24+(0.01*E24)</f>
        <v>3.0602999999999998</v>
      </c>
      <c r="G24" s="57">
        <f>F24+(0.01*F24)</f>
        <v>3.090903</v>
      </c>
      <c r="H24" s="57">
        <f>G24+(0.01*G24)</f>
        <v>3.1218120300000001</v>
      </c>
      <c r="I24" s="58">
        <f>H24+(0.01*H24)</f>
        <v>3.1530301503000002</v>
      </c>
      <c r="J24" s="41"/>
      <c r="K24" s="41"/>
      <c r="L24" s="41"/>
      <c r="M24" s="41"/>
      <c r="N24" s="41"/>
      <c r="O24" s="41"/>
      <c r="P24" s="41"/>
      <c r="Q24" s="41"/>
    </row>
    <row r="25" spans="1:17" ht="17.25" thickBot="1" x14ac:dyDescent="0.3">
      <c r="A25" s="41"/>
      <c r="B25" s="41"/>
      <c r="C25" s="54" t="s">
        <v>72</v>
      </c>
      <c r="D25" s="59">
        <f t="shared" ref="D25:I25" si="4">D23*D24</f>
        <v>150000</v>
      </c>
      <c r="E25" s="59">
        <f t="shared" si="4"/>
        <v>156045</v>
      </c>
      <c r="F25" s="59">
        <f t="shared" si="4"/>
        <v>162333.61349999998</v>
      </c>
      <c r="G25" s="59">
        <f t="shared" si="4"/>
        <v>168875.65812404998</v>
      </c>
      <c r="H25" s="59">
        <f t="shared" si="4"/>
        <v>175681.3471464492</v>
      </c>
      <c r="I25" s="60">
        <f t="shared" si="4"/>
        <v>182761.3054364511</v>
      </c>
      <c r="J25" s="41"/>
      <c r="K25" s="41"/>
      <c r="L25" s="41"/>
      <c r="M25" s="41"/>
      <c r="N25" s="41"/>
      <c r="O25" s="41"/>
      <c r="P25" s="41"/>
      <c r="Q25" s="41"/>
    </row>
    <row r="26" spans="1:17" ht="16.5" x14ac:dyDescent="0.3">
      <c r="A26" s="41"/>
      <c r="B26" s="41"/>
      <c r="C26" s="42"/>
      <c r="D26" s="46"/>
      <c r="E26" s="46"/>
      <c r="F26" s="46"/>
      <c r="G26" s="46"/>
      <c r="H26" s="46"/>
      <c r="I26" s="46"/>
      <c r="J26" s="41"/>
      <c r="K26" s="41"/>
      <c r="L26" s="41"/>
      <c r="M26" s="41"/>
      <c r="N26" s="41"/>
      <c r="O26" s="41"/>
      <c r="P26" s="41"/>
      <c r="Q26" s="41"/>
    </row>
    <row r="27" spans="1:17" ht="16.5" x14ac:dyDescent="0.3">
      <c r="A27" s="41"/>
      <c r="B27" s="41"/>
      <c r="C27" s="42"/>
      <c r="D27" s="62"/>
      <c r="E27" s="62"/>
      <c r="F27" s="62"/>
      <c r="G27" s="62"/>
      <c r="H27" s="62"/>
      <c r="I27" s="62"/>
      <c r="J27" s="41"/>
      <c r="K27" s="41"/>
      <c r="L27" s="41"/>
      <c r="M27" s="41"/>
      <c r="N27" s="41"/>
      <c r="O27" s="41"/>
      <c r="P27" s="41"/>
      <c r="Q27" s="41"/>
    </row>
    <row r="28" spans="1:17" ht="17.25" thickBot="1" x14ac:dyDescent="0.35">
      <c r="A28" s="41"/>
      <c r="B28" s="41"/>
      <c r="C28" s="42"/>
      <c r="D28" s="62"/>
      <c r="E28" s="62"/>
      <c r="F28" s="62"/>
      <c r="G28" s="62"/>
      <c r="H28" s="62"/>
      <c r="I28" s="62"/>
      <c r="J28" s="41"/>
      <c r="K28" s="41"/>
      <c r="L28" s="41"/>
      <c r="M28" s="41"/>
      <c r="N28" s="41"/>
      <c r="O28" s="41"/>
      <c r="P28" s="41"/>
      <c r="Q28" s="41"/>
    </row>
    <row r="29" spans="1:17" x14ac:dyDescent="0.25">
      <c r="A29" s="41"/>
      <c r="B29" s="41"/>
      <c r="C29" s="45" t="s">
        <v>73</v>
      </c>
      <c r="D29" s="39">
        <v>1</v>
      </c>
      <c r="E29" s="39">
        <v>2</v>
      </c>
      <c r="F29" s="39">
        <v>3</v>
      </c>
      <c r="G29" s="39">
        <v>4</v>
      </c>
      <c r="H29" s="39">
        <v>5</v>
      </c>
      <c r="I29" s="39">
        <v>6</v>
      </c>
      <c r="J29" s="41"/>
      <c r="K29" s="41"/>
      <c r="L29" s="41"/>
      <c r="M29" s="41"/>
      <c r="N29" s="41"/>
      <c r="O29" s="41"/>
      <c r="P29" s="41"/>
      <c r="Q29" s="41"/>
    </row>
    <row r="30" spans="1:17" ht="16.5" x14ac:dyDescent="0.3">
      <c r="A30" s="41"/>
      <c r="B30" s="41"/>
      <c r="C30" s="43" t="s">
        <v>74</v>
      </c>
      <c r="D30" s="47">
        <f>Datos!C9</f>
        <v>2</v>
      </c>
      <c r="E30" s="47">
        <f t="shared" ref="E30:I31" si="5">(D30*0.01)+D30</f>
        <v>2.02</v>
      </c>
      <c r="F30" s="47">
        <f t="shared" si="5"/>
        <v>2.0402</v>
      </c>
      <c r="G30" s="47">
        <f t="shared" si="5"/>
        <v>2.0606019999999998</v>
      </c>
      <c r="H30" s="47">
        <f t="shared" si="5"/>
        <v>2.0812080199999996</v>
      </c>
      <c r="I30" s="48">
        <f t="shared" si="5"/>
        <v>2.1020201001999994</v>
      </c>
      <c r="J30" s="41"/>
      <c r="K30" s="41"/>
      <c r="L30" s="41"/>
      <c r="M30" s="41"/>
      <c r="N30" s="41"/>
      <c r="O30" s="41"/>
      <c r="P30" s="41"/>
      <c r="Q30" s="41"/>
    </row>
    <row r="31" spans="1:17" ht="17.25" thickBot="1" x14ac:dyDescent="0.35">
      <c r="A31" s="41"/>
      <c r="B31" s="41"/>
      <c r="C31" s="44" t="s">
        <v>75</v>
      </c>
      <c r="D31" s="49">
        <f>Datos!C8</f>
        <v>3</v>
      </c>
      <c r="E31" s="49">
        <f t="shared" si="5"/>
        <v>3.03</v>
      </c>
      <c r="F31" s="49">
        <f t="shared" si="5"/>
        <v>3.0602999999999998</v>
      </c>
      <c r="G31" s="49">
        <f t="shared" si="5"/>
        <v>3.090903</v>
      </c>
      <c r="H31" s="49">
        <f t="shared" si="5"/>
        <v>3.1218120300000001</v>
      </c>
      <c r="I31" s="50">
        <f t="shared" si="5"/>
        <v>3.1530301503000002</v>
      </c>
      <c r="J31" s="41"/>
      <c r="K31" s="41"/>
      <c r="L31" s="41"/>
      <c r="M31" s="41"/>
      <c r="N31" s="41"/>
      <c r="O31" s="41"/>
      <c r="P31" s="41"/>
      <c r="Q31" s="41"/>
    </row>
    <row r="32" spans="1:17" x14ac:dyDescent="0.25">
      <c r="A32" s="41"/>
      <c r="B32" s="41"/>
      <c r="C32" s="41"/>
      <c r="D32" s="41"/>
      <c r="E32" s="41"/>
      <c r="F32" s="41"/>
      <c r="G32" s="41"/>
      <c r="H32" s="41"/>
      <c r="I32" s="41"/>
      <c r="J32" s="41"/>
      <c r="K32" s="41"/>
      <c r="L32" s="41"/>
      <c r="M32" s="41"/>
      <c r="N32" s="41"/>
      <c r="O32" s="41"/>
      <c r="P32" s="41"/>
      <c r="Q32" s="41"/>
    </row>
    <row r="33" spans="1:17" x14ac:dyDescent="0.25">
      <c r="A33" s="41"/>
      <c r="B33" s="41"/>
      <c r="C33" s="41"/>
      <c r="D33" s="41"/>
      <c r="E33" s="41"/>
      <c r="F33" s="41"/>
      <c r="G33" s="41"/>
      <c r="H33" s="41"/>
      <c r="I33" s="41"/>
      <c r="J33" s="41"/>
      <c r="K33" s="41"/>
      <c r="L33" s="41"/>
      <c r="M33" s="41"/>
      <c r="N33" s="41"/>
      <c r="O33" s="41"/>
      <c r="P33" s="41"/>
      <c r="Q33" s="41"/>
    </row>
    <row r="34" spans="1:17" ht="16.5" x14ac:dyDescent="0.3">
      <c r="A34" s="41"/>
      <c r="B34" s="41"/>
      <c r="C34" s="63" t="s">
        <v>76</v>
      </c>
      <c r="D34" s="69">
        <v>1000</v>
      </c>
      <c r="E34" s="41"/>
      <c r="F34" s="41"/>
      <c r="G34" s="41"/>
      <c r="H34" s="41"/>
      <c r="I34" s="41"/>
      <c r="J34" s="41"/>
      <c r="K34" s="41"/>
      <c r="L34" s="41"/>
      <c r="M34" s="41"/>
      <c r="N34" s="41"/>
      <c r="O34" s="41"/>
      <c r="P34" s="41"/>
      <c r="Q34" s="41"/>
    </row>
    <row r="35" spans="1:17" x14ac:dyDescent="0.25">
      <c r="A35" s="41"/>
      <c r="B35" s="41"/>
      <c r="C35" s="41"/>
      <c r="D35" s="41"/>
      <c r="E35" s="41"/>
      <c r="F35" s="41"/>
      <c r="G35" s="41"/>
      <c r="H35" s="41"/>
      <c r="I35" s="41"/>
      <c r="J35" s="41"/>
      <c r="K35" s="41"/>
      <c r="L35" s="41"/>
      <c r="M35" s="41"/>
      <c r="N35" s="41"/>
      <c r="O35" s="41"/>
      <c r="P35" s="41"/>
      <c r="Q35" s="41"/>
    </row>
    <row r="36" spans="1:17" x14ac:dyDescent="0.25">
      <c r="A36" s="41"/>
      <c r="B36" s="41"/>
      <c r="C36" s="41"/>
      <c r="D36" s="41"/>
      <c r="E36" s="41"/>
      <c r="F36" s="41"/>
      <c r="G36" s="41"/>
      <c r="H36" s="41"/>
      <c r="I36" s="41"/>
      <c r="J36" s="41"/>
      <c r="K36" s="41"/>
      <c r="L36" s="41"/>
      <c r="M36" s="41"/>
      <c r="N36" s="41"/>
      <c r="O36" s="41"/>
      <c r="P36" s="41"/>
      <c r="Q36" s="41"/>
    </row>
    <row r="37" spans="1:17" x14ac:dyDescent="0.25">
      <c r="A37" s="41"/>
      <c r="B37" s="41"/>
      <c r="C37" s="41"/>
      <c r="D37" s="41"/>
      <c r="E37" s="41"/>
      <c r="F37" s="41"/>
      <c r="G37" s="41"/>
      <c r="H37" s="41"/>
      <c r="I37" s="41"/>
      <c r="J37" s="41"/>
      <c r="K37" s="41"/>
      <c r="L37" s="41"/>
      <c r="M37" s="41"/>
      <c r="N37" s="41"/>
      <c r="O37" s="41"/>
      <c r="P37" s="41"/>
      <c r="Q37" s="41"/>
    </row>
    <row r="38" spans="1:17" x14ac:dyDescent="0.25">
      <c r="A38" s="41"/>
      <c r="B38" s="41"/>
      <c r="C38" s="41"/>
      <c r="D38" s="41"/>
      <c r="E38" s="41"/>
      <c r="F38" s="41"/>
      <c r="G38" s="41"/>
      <c r="H38" s="41"/>
      <c r="I38" s="41"/>
      <c r="J38" s="41"/>
      <c r="K38" s="41"/>
      <c r="L38" s="41"/>
      <c r="M38" s="41"/>
      <c r="N38" s="41"/>
      <c r="O38" s="41"/>
      <c r="P38" s="41"/>
      <c r="Q38" s="41"/>
    </row>
    <row r="39" spans="1:17" x14ac:dyDescent="0.25">
      <c r="A39" s="41"/>
      <c r="B39" s="41"/>
      <c r="C39" s="41"/>
      <c r="D39" s="41"/>
      <c r="E39" s="41"/>
      <c r="F39" s="41"/>
      <c r="G39" s="41"/>
      <c r="H39" s="41"/>
      <c r="I39" s="41"/>
      <c r="J39" s="41"/>
      <c r="K39" s="41"/>
      <c r="L39" s="41"/>
      <c r="M39" s="41"/>
      <c r="N39" s="41"/>
      <c r="O39" s="41"/>
      <c r="P39" s="41"/>
      <c r="Q39" s="41"/>
    </row>
    <row r="40" spans="1:17" x14ac:dyDescent="0.25">
      <c r="A40" s="41"/>
      <c r="B40" s="41"/>
      <c r="C40" s="41"/>
      <c r="D40" s="41"/>
      <c r="E40" s="41"/>
      <c r="F40" s="41"/>
      <c r="G40" s="41"/>
      <c r="H40" s="41"/>
      <c r="I40" s="41"/>
      <c r="J40" s="41"/>
      <c r="K40" s="41"/>
      <c r="L40" s="41"/>
      <c r="M40" s="41"/>
      <c r="N40" s="41"/>
      <c r="O40" s="41"/>
      <c r="P40" s="41"/>
      <c r="Q40" s="41"/>
    </row>
    <row r="41" spans="1:17" x14ac:dyDescent="0.25">
      <c r="A41" s="41"/>
      <c r="B41" s="41"/>
      <c r="C41" s="41"/>
      <c r="D41" s="41"/>
      <c r="E41" s="41"/>
      <c r="F41" s="41"/>
      <c r="G41" s="41"/>
      <c r="H41" s="41"/>
      <c r="I41" s="41"/>
      <c r="J41" s="41"/>
      <c r="K41" s="41"/>
      <c r="L41" s="41"/>
      <c r="M41" s="41"/>
      <c r="N41" s="41"/>
      <c r="O41" s="41"/>
      <c r="P41" s="41"/>
      <c r="Q41" s="41"/>
    </row>
    <row r="42" spans="1:17" x14ac:dyDescent="0.25">
      <c r="A42" s="41"/>
      <c r="B42" s="41"/>
      <c r="C42" s="41"/>
      <c r="D42" s="41"/>
      <c r="E42" s="41"/>
      <c r="F42" s="41"/>
      <c r="G42" s="41"/>
      <c r="H42" s="41"/>
      <c r="I42" s="41"/>
      <c r="J42" s="41"/>
      <c r="K42" s="41"/>
      <c r="L42" s="41"/>
      <c r="M42" s="41"/>
      <c r="N42" s="41"/>
      <c r="O42" s="41"/>
      <c r="P42" s="41"/>
      <c r="Q42" s="41"/>
    </row>
    <row r="43" spans="1:17" x14ac:dyDescent="0.25">
      <c r="A43" s="41"/>
      <c r="B43" s="41"/>
      <c r="C43" s="41"/>
      <c r="D43" s="41"/>
      <c r="E43" s="41"/>
      <c r="F43" s="41"/>
      <c r="G43" s="41"/>
      <c r="H43" s="41"/>
      <c r="I43" s="41"/>
      <c r="J43" s="41"/>
      <c r="K43" s="41"/>
      <c r="L43" s="41"/>
      <c r="M43" s="41"/>
      <c r="N43" s="41"/>
      <c r="O43" s="41"/>
      <c r="P43" s="41"/>
      <c r="Q43" s="41"/>
    </row>
    <row r="44" spans="1:17" x14ac:dyDescent="0.25">
      <c r="A44" s="41"/>
      <c r="B44" s="41"/>
      <c r="C44" s="41"/>
      <c r="D44" s="41"/>
      <c r="E44" s="41"/>
      <c r="F44" s="41"/>
      <c r="G44" s="41"/>
      <c r="H44" s="41"/>
      <c r="I44" s="41"/>
      <c r="J44" s="41"/>
      <c r="K44" s="41"/>
      <c r="L44" s="41"/>
      <c r="M44" s="41"/>
      <c r="N44" s="41"/>
      <c r="O44" s="41"/>
      <c r="P44" s="41"/>
      <c r="Q44" s="41"/>
    </row>
    <row r="45" spans="1:17" x14ac:dyDescent="0.25">
      <c r="A45" s="41"/>
      <c r="B45" s="41"/>
      <c r="C45" s="41"/>
      <c r="D45" s="41"/>
      <c r="E45" s="41"/>
      <c r="F45" s="41"/>
      <c r="G45" s="41"/>
      <c r="H45" s="41"/>
      <c r="I45" s="41"/>
      <c r="J45" s="41"/>
      <c r="K45" s="41"/>
      <c r="L45" s="41"/>
      <c r="M45" s="41"/>
      <c r="N45" s="41"/>
      <c r="O45" s="41"/>
      <c r="P45" s="41"/>
      <c r="Q45" s="41"/>
    </row>
    <row r="46" spans="1:17" x14ac:dyDescent="0.25">
      <c r="A46" s="41"/>
      <c r="B46" s="41"/>
      <c r="C46" s="41"/>
      <c r="D46" s="41"/>
      <c r="E46" s="41"/>
      <c r="F46" s="41"/>
      <c r="G46" s="41"/>
      <c r="H46" s="41"/>
      <c r="I46" s="41"/>
      <c r="J46" s="41"/>
      <c r="K46" s="41"/>
      <c r="L46" s="41"/>
      <c r="M46" s="41"/>
      <c r="N46" s="41"/>
      <c r="O46" s="41"/>
      <c r="P46" s="41"/>
      <c r="Q46" s="41"/>
    </row>
    <row r="47" spans="1:17" x14ac:dyDescent="0.25">
      <c r="A47" s="41"/>
      <c r="B47" s="41"/>
      <c r="C47" s="41"/>
      <c r="D47" s="41"/>
      <c r="E47" s="41"/>
      <c r="F47" s="41"/>
      <c r="G47" s="41"/>
      <c r="H47" s="41"/>
      <c r="I47" s="41"/>
      <c r="J47" s="41"/>
      <c r="K47" s="41"/>
      <c r="L47" s="41"/>
      <c r="M47" s="41"/>
      <c r="N47" s="41"/>
      <c r="O47" s="41"/>
      <c r="P47" s="41"/>
      <c r="Q47" s="41"/>
    </row>
    <row r="48" spans="1:17" x14ac:dyDescent="0.25">
      <c r="A48" s="41"/>
      <c r="B48" s="41"/>
      <c r="C48" s="41"/>
      <c r="D48" s="41"/>
      <c r="E48" s="41"/>
      <c r="F48" s="41"/>
      <c r="G48" s="41"/>
      <c r="H48" s="41"/>
      <c r="I48" s="41"/>
      <c r="J48" s="41"/>
      <c r="K48" s="41"/>
      <c r="L48" s="41"/>
      <c r="M48" s="41"/>
      <c r="N48" s="41"/>
      <c r="O48" s="41"/>
      <c r="P48" s="41"/>
      <c r="Q48" s="41"/>
    </row>
    <row r="49" spans="1:17" x14ac:dyDescent="0.25">
      <c r="A49" s="41"/>
      <c r="B49" s="41"/>
      <c r="C49" s="41"/>
      <c r="D49" s="41"/>
      <c r="E49" s="41"/>
      <c r="F49" s="41"/>
      <c r="G49" s="41"/>
      <c r="H49" s="41"/>
      <c r="I49" s="41"/>
      <c r="J49" s="41"/>
      <c r="K49" s="41"/>
      <c r="L49" s="41"/>
      <c r="M49" s="41"/>
      <c r="N49" s="41"/>
      <c r="O49" s="41"/>
      <c r="P49" s="41"/>
      <c r="Q49" s="41"/>
    </row>
    <row r="50" spans="1:17" x14ac:dyDescent="0.25">
      <c r="A50" s="41"/>
      <c r="B50" s="41"/>
      <c r="C50" s="41"/>
      <c r="D50" s="41"/>
      <c r="E50" s="41"/>
      <c r="F50" s="41"/>
      <c r="G50" s="41"/>
      <c r="H50" s="41"/>
      <c r="I50" s="41"/>
      <c r="J50" s="41"/>
      <c r="K50" s="41"/>
      <c r="L50" s="41"/>
      <c r="M50" s="41"/>
      <c r="N50" s="41"/>
      <c r="O50" s="41"/>
      <c r="P50" s="41"/>
      <c r="Q50" s="41"/>
    </row>
    <row r="51" spans="1:17" x14ac:dyDescent="0.25">
      <c r="A51" s="41"/>
      <c r="B51" s="41"/>
      <c r="C51" s="41"/>
      <c r="D51" s="41"/>
      <c r="E51" s="41"/>
      <c r="F51" s="41"/>
      <c r="G51" s="41"/>
      <c r="H51" s="41"/>
      <c r="I51" s="41"/>
      <c r="J51" s="41"/>
      <c r="K51" s="41"/>
      <c r="L51" s="41"/>
      <c r="M51" s="41"/>
      <c r="N51" s="41"/>
      <c r="O51" s="41"/>
      <c r="P51" s="41"/>
      <c r="Q51" s="41"/>
    </row>
    <row r="52" spans="1:17" x14ac:dyDescent="0.25">
      <c r="A52" s="41"/>
      <c r="B52" s="41"/>
      <c r="C52" s="41"/>
      <c r="D52" s="41"/>
      <c r="E52" s="41"/>
      <c r="F52" s="41"/>
      <c r="G52" s="41"/>
      <c r="H52" s="41"/>
      <c r="I52" s="41"/>
      <c r="J52" s="41"/>
      <c r="K52" s="41"/>
      <c r="L52" s="41"/>
      <c r="M52" s="41"/>
      <c r="N52" s="41"/>
      <c r="O52" s="41"/>
      <c r="P52" s="41"/>
      <c r="Q52" s="41"/>
    </row>
    <row r="53" spans="1:17" x14ac:dyDescent="0.25">
      <c r="A53" s="41"/>
      <c r="B53" s="41"/>
      <c r="C53" s="41"/>
      <c r="D53" s="41"/>
      <c r="E53" s="41"/>
      <c r="F53" s="41"/>
      <c r="G53" s="41"/>
      <c r="H53" s="41"/>
      <c r="I53" s="41"/>
      <c r="J53" s="41"/>
      <c r="K53" s="41"/>
      <c r="L53" s="41"/>
      <c r="M53" s="41"/>
      <c r="N53" s="41"/>
      <c r="O53" s="41"/>
      <c r="P53" s="41"/>
      <c r="Q53" s="41"/>
    </row>
    <row r="54" spans="1:17" x14ac:dyDescent="0.25">
      <c r="A54" s="41"/>
      <c r="B54" s="41"/>
      <c r="C54" s="41"/>
      <c r="D54" s="41"/>
      <c r="E54" s="41"/>
      <c r="F54" s="41"/>
      <c r="G54" s="41"/>
      <c r="H54" s="41"/>
      <c r="I54" s="41"/>
      <c r="J54" s="41"/>
      <c r="K54" s="41"/>
      <c r="L54" s="41"/>
      <c r="M54" s="41"/>
      <c r="N54" s="41"/>
      <c r="O54" s="41"/>
      <c r="P54" s="41"/>
      <c r="Q54" s="41"/>
    </row>
    <row r="55" spans="1:17" x14ac:dyDescent="0.25">
      <c r="A55" s="41"/>
      <c r="B55" s="41"/>
      <c r="C55" s="41"/>
      <c r="D55" s="41"/>
      <c r="E55" s="41"/>
      <c r="F55" s="41"/>
      <c r="G55" s="41"/>
      <c r="H55" s="41"/>
      <c r="I55" s="41"/>
      <c r="J55" s="41"/>
      <c r="K55" s="41"/>
      <c r="L55" s="41"/>
      <c r="M55" s="41"/>
      <c r="N55" s="41"/>
      <c r="O55" s="41"/>
      <c r="P55" s="41"/>
      <c r="Q55" s="41"/>
    </row>
    <row r="56" spans="1:17" x14ac:dyDescent="0.25">
      <c r="A56" s="41"/>
      <c r="B56" s="41"/>
      <c r="C56" s="41"/>
      <c r="D56" s="41"/>
      <c r="E56" s="41"/>
      <c r="F56" s="41"/>
      <c r="G56" s="41"/>
      <c r="H56" s="41"/>
      <c r="I56" s="41"/>
      <c r="J56" s="41"/>
      <c r="K56" s="41"/>
      <c r="L56" s="41"/>
      <c r="M56" s="41"/>
      <c r="N56" s="41"/>
      <c r="O56" s="41"/>
      <c r="P56" s="41"/>
      <c r="Q56" s="41"/>
    </row>
    <row r="57" spans="1:17" x14ac:dyDescent="0.25">
      <c r="A57" s="41"/>
      <c r="B57" s="41"/>
      <c r="C57" s="41"/>
      <c r="D57" s="41"/>
      <c r="E57" s="41"/>
      <c r="F57" s="41"/>
      <c r="G57" s="41"/>
      <c r="H57" s="41"/>
      <c r="I57" s="41"/>
      <c r="J57" s="41"/>
      <c r="K57" s="41"/>
      <c r="L57" s="41"/>
      <c r="M57" s="41"/>
      <c r="N57" s="41"/>
      <c r="O57" s="41"/>
      <c r="P57" s="41"/>
      <c r="Q57" s="41"/>
    </row>
    <row r="58" spans="1:17" x14ac:dyDescent="0.25">
      <c r="A58" s="41"/>
      <c r="B58" s="41"/>
      <c r="C58" s="41"/>
      <c r="D58" s="41"/>
      <c r="E58" s="41"/>
      <c r="F58" s="41"/>
      <c r="G58" s="41"/>
      <c r="H58" s="41"/>
      <c r="I58" s="41"/>
      <c r="J58" s="41"/>
      <c r="K58" s="41"/>
      <c r="L58" s="41"/>
      <c r="M58" s="41"/>
      <c r="N58" s="41"/>
      <c r="O58" s="41"/>
      <c r="P58" s="41"/>
      <c r="Q58" s="41"/>
    </row>
    <row r="59" spans="1:17" x14ac:dyDescent="0.25">
      <c r="A59" s="41"/>
      <c r="B59" s="41"/>
      <c r="C59" s="41"/>
      <c r="D59" s="41"/>
      <c r="E59" s="41"/>
      <c r="F59" s="41"/>
      <c r="G59" s="41"/>
      <c r="H59" s="41"/>
      <c r="I59" s="41"/>
      <c r="J59" s="41"/>
      <c r="K59" s="41"/>
      <c r="L59" s="41"/>
      <c r="M59" s="41"/>
      <c r="N59" s="41"/>
      <c r="O59" s="41"/>
      <c r="P59" s="41"/>
      <c r="Q59" s="41"/>
    </row>
    <row r="60" spans="1:17" x14ac:dyDescent="0.25">
      <c r="A60" s="41"/>
      <c r="B60" s="41"/>
      <c r="C60" s="41"/>
      <c r="D60" s="41"/>
      <c r="E60" s="41"/>
      <c r="F60" s="41"/>
      <c r="G60" s="41"/>
      <c r="H60" s="41"/>
      <c r="I60" s="41"/>
      <c r="J60" s="41"/>
      <c r="K60" s="41"/>
      <c r="L60" s="41"/>
      <c r="M60" s="41"/>
      <c r="N60" s="41"/>
      <c r="O60" s="41"/>
      <c r="P60" s="41"/>
      <c r="Q60" s="41"/>
    </row>
    <row r="61" spans="1:17" x14ac:dyDescent="0.25">
      <c r="A61" s="41"/>
      <c r="B61" s="41"/>
      <c r="C61" s="41"/>
      <c r="D61" s="41"/>
      <c r="E61" s="41"/>
      <c r="F61" s="41"/>
      <c r="G61" s="41"/>
      <c r="H61" s="41"/>
      <c r="I61" s="41"/>
      <c r="J61" s="41"/>
      <c r="K61" s="41"/>
      <c r="L61" s="41"/>
      <c r="M61" s="41"/>
      <c r="N61" s="41"/>
      <c r="O61" s="41"/>
      <c r="P61" s="41"/>
      <c r="Q61" s="41"/>
    </row>
    <row r="62" spans="1:17" x14ac:dyDescent="0.25">
      <c r="A62" s="41"/>
      <c r="B62" s="41"/>
      <c r="C62" s="41"/>
      <c r="D62" s="41"/>
      <c r="E62" s="41"/>
      <c r="F62" s="41"/>
      <c r="G62" s="41"/>
      <c r="H62" s="41"/>
      <c r="I62" s="41"/>
      <c r="J62" s="41"/>
      <c r="K62" s="41"/>
      <c r="L62" s="41"/>
      <c r="M62" s="41"/>
      <c r="N62" s="41"/>
      <c r="O62" s="41"/>
      <c r="P62" s="41"/>
      <c r="Q62" s="41"/>
    </row>
    <row r="63" spans="1:17" x14ac:dyDescent="0.25">
      <c r="A63" s="41"/>
      <c r="B63" s="41"/>
      <c r="C63" s="41"/>
      <c r="D63" s="41"/>
      <c r="E63" s="41"/>
      <c r="F63" s="41"/>
      <c r="G63" s="41"/>
      <c r="H63" s="41"/>
      <c r="I63" s="41"/>
      <c r="J63" s="41"/>
      <c r="K63" s="41"/>
      <c r="L63" s="41"/>
      <c r="M63" s="41"/>
      <c r="N63" s="41"/>
      <c r="O63" s="41"/>
      <c r="P63" s="41"/>
      <c r="Q63" s="41"/>
    </row>
    <row r="64" spans="1:17" x14ac:dyDescent="0.25">
      <c r="A64" s="41"/>
      <c r="B64" s="41"/>
      <c r="C64" s="41"/>
      <c r="D64" s="41"/>
      <c r="E64" s="41"/>
      <c r="F64" s="41"/>
      <c r="G64" s="41"/>
      <c r="H64" s="41"/>
      <c r="I64" s="41"/>
      <c r="J64" s="41"/>
      <c r="K64" s="41"/>
      <c r="L64" s="41"/>
      <c r="M64" s="41"/>
      <c r="N64" s="41"/>
      <c r="O64" s="41"/>
      <c r="P64" s="41"/>
      <c r="Q64" s="41"/>
    </row>
    <row r="65" spans="1:17" x14ac:dyDescent="0.25">
      <c r="A65" s="41"/>
      <c r="B65" s="41"/>
      <c r="C65" s="41"/>
      <c r="D65" s="41"/>
      <c r="E65" s="41"/>
      <c r="F65" s="41"/>
      <c r="G65" s="41"/>
      <c r="H65" s="41"/>
      <c r="I65" s="41"/>
      <c r="J65" s="41"/>
      <c r="K65" s="41"/>
      <c r="L65" s="41"/>
      <c r="M65" s="41"/>
      <c r="N65" s="41"/>
      <c r="O65" s="41"/>
      <c r="P65" s="41"/>
      <c r="Q65" s="41"/>
    </row>
    <row r="66" spans="1:17" x14ac:dyDescent="0.25">
      <c r="A66" s="41"/>
      <c r="B66" s="41"/>
      <c r="C66" s="41"/>
      <c r="D66" s="41"/>
      <c r="E66" s="41"/>
      <c r="F66" s="41"/>
      <c r="G66" s="41"/>
      <c r="H66" s="41"/>
      <c r="I66" s="41"/>
      <c r="J66" s="41"/>
      <c r="K66" s="41"/>
      <c r="L66" s="41"/>
      <c r="M66" s="41"/>
      <c r="N66" s="41"/>
      <c r="O66" s="41"/>
      <c r="P66" s="41"/>
      <c r="Q66" s="41"/>
    </row>
    <row r="67" spans="1:17" x14ac:dyDescent="0.25">
      <c r="A67" s="41"/>
      <c r="B67" s="41"/>
      <c r="C67" s="41"/>
      <c r="D67" s="41"/>
      <c r="E67" s="41"/>
      <c r="F67" s="41"/>
      <c r="G67" s="41"/>
      <c r="H67" s="41"/>
      <c r="I67" s="41"/>
      <c r="J67" s="41"/>
      <c r="K67" s="41"/>
      <c r="L67" s="41"/>
      <c r="M67" s="41"/>
      <c r="N67" s="41"/>
      <c r="O67" s="41"/>
      <c r="P67" s="41"/>
      <c r="Q67" s="41"/>
    </row>
    <row r="68" spans="1:17" x14ac:dyDescent="0.25">
      <c r="A68" s="41"/>
      <c r="B68" s="41"/>
      <c r="C68" s="41"/>
      <c r="D68" s="41"/>
      <c r="E68" s="41"/>
      <c r="F68" s="41"/>
      <c r="G68" s="41"/>
      <c r="H68" s="41"/>
      <c r="I68" s="41"/>
      <c r="J68" s="41"/>
      <c r="K68" s="41"/>
      <c r="L68" s="41"/>
      <c r="M68" s="41"/>
      <c r="N68" s="41"/>
      <c r="O68" s="41"/>
      <c r="P68" s="41"/>
      <c r="Q68" s="41"/>
    </row>
    <row r="69" spans="1:17" x14ac:dyDescent="0.25">
      <c r="A69" s="41"/>
      <c r="B69" s="41"/>
      <c r="C69" s="41"/>
      <c r="D69" s="41"/>
      <c r="E69" s="41"/>
      <c r="F69" s="41"/>
      <c r="G69" s="41"/>
      <c r="H69" s="41"/>
      <c r="I69" s="41"/>
      <c r="J69" s="41"/>
      <c r="K69" s="41"/>
      <c r="L69" s="41"/>
      <c r="M69" s="41"/>
      <c r="N69" s="41"/>
      <c r="O69" s="41"/>
      <c r="P69" s="41"/>
      <c r="Q69" s="41"/>
    </row>
    <row r="70" spans="1:17" x14ac:dyDescent="0.25">
      <c r="A70" s="41"/>
      <c r="B70" s="41"/>
      <c r="C70" s="41"/>
      <c r="D70" s="41"/>
      <c r="E70" s="41"/>
      <c r="F70" s="41"/>
      <c r="G70" s="41"/>
      <c r="H70" s="41"/>
      <c r="I70" s="41"/>
      <c r="J70" s="41"/>
      <c r="K70" s="41"/>
      <c r="L70" s="41"/>
      <c r="M70" s="41"/>
      <c r="N70" s="41"/>
      <c r="O70" s="41"/>
      <c r="P70" s="41"/>
      <c r="Q70" s="41"/>
    </row>
    <row r="71" spans="1:17" x14ac:dyDescent="0.25">
      <c r="A71" s="41"/>
      <c r="B71" s="41"/>
      <c r="C71" s="41"/>
      <c r="D71" s="41"/>
      <c r="E71" s="41"/>
      <c r="F71" s="41"/>
      <c r="G71" s="41"/>
      <c r="H71" s="41"/>
      <c r="I71" s="41"/>
      <c r="J71" s="41"/>
      <c r="K71" s="41"/>
      <c r="L71" s="41"/>
      <c r="M71" s="41"/>
      <c r="N71" s="41"/>
      <c r="O71" s="41"/>
      <c r="P71" s="41"/>
      <c r="Q71" s="41"/>
    </row>
    <row r="72" spans="1:17" x14ac:dyDescent="0.25">
      <c r="A72" s="41"/>
      <c r="B72" s="41"/>
      <c r="C72" s="41"/>
      <c r="D72" s="41"/>
      <c r="E72" s="41"/>
      <c r="F72" s="41"/>
      <c r="G72" s="41"/>
      <c r="H72" s="41"/>
      <c r="I72" s="41"/>
      <c r="J72" s="41"/>
      <c r="K72" s="41"/>
      <c r="L72" s="41"/>
      <c r="M72" s="41"/>
      <c r="N72" s="41"/>
      <c r="O72" s="41"/>
      <c r="P72" s="41"/>
      <c r="Q72" s="41"/>
    </row>
    <row r="73" spans="1:17" x14ac:dyDescent="0.25">
      <c r="A73" s="41"/>
      <c r="B73" s="41"/>
      <c r="C73" s="41"/>
      <c r="D73" s="41"/>
      <c r="E73" s="41"/>
      <c r="F73" s="41"/>
      <c r="G73" s="41"/>
      <c r="H73" s="41"/>
      <c r="I73" s="41"/>
      <c r="J73" s="41"/>
      <c r="K73" s="41"/>
      <c r="L73" s="41"/>
      <c r="M73" s="41"/>
      <c r="N73" s="41"/>
      <c r="O73" s="41"/>
      <c r="P73" s="41"/>
      <c r="Q73" s="41"/>
    </row>
    <row r="74" spans="1:17" x14ac:dyDescent="0.25">
      <c r="A74" s="41"/>
      <c r="B74" s="41"/>
      <c r="C74" s="41"/>
      <c r="D74" s="41"/>
      <c r="E74" s="41"/>
      <c r="F74" s="41"/>
      <c r="G74" s="41"/>
      <c r="H74" s="41"/>
      <c r="I74" s="41"/>
      <c r="J74" s="41"/>
      <c r="K74" s="41"/>
      <c r="L74" s="41"/>
      <c r="M74" s="41"/>
      <c r="N74" s="41"/>
      <c r="O74" s="41"/>
      <c r="P74" s="41"/>
      <c r="Q74" s="41"/>
    </row>
    <row r="75" spans="1:17" x14ac:dyDescent="0.25">
      <c r="A75" s="41"/>
      <c r="B75" s="41"/>
      <c r="C75" s="41"/>
      <c r="D75" s="41"/>
      <c r="E75" s="41"/>
      <c r="F75" s="41"/>
      <c r="G75" s="41"/>
      <c r="H75" s="41"/>
      <c r="I75" s="41"/>
      <c r="J75" s="41"/>
      <c r="K75" s="41"/>
      <c r="L75" s="41"/>
      <c r="M75" s="41"/>
      <c r="N75" s="41"/>
      <c r="O75" s="41"/>
      <c r="P75" s="41"/>
      <c r="Q75" s="41"/>
    </row>
    <row r="76" spans="1:17" x14ac:dyDescent="0.25">
      <c r="A76" s="41"/>
      <c r="B76" s="41"/>
      <c r="C76" s="41"/>
      <c r="D76" s="41"/>
      <c r="E76" s="41"/>
      <c r="F76" s="41"/>
      <c r="G76" s="41"/>
      <c r="H76" s="41"/>
      <c r="I76" s="41"/>
      <c r="J76" s="41"/>
      <c r="K76" s="41"/>
      <c r="L76" s="41"/>
      <c r="M76" s="41"/>
      <c r="N76" s="41"/>
      <c r="O76" s="41"/>
      <c r="P76" s="41"/>
      <c r="Q76" s="41"/>
    </row>
    <row r="77" spans="1:17" x14ac:dyDescent="0.25">
      <c r="A77" s="41"/>
      <c r="B77" s="41"/>
      <c r="C77" s="41"/>
      <c r="D77" s="41"/>
      <c r="E77" s="41"/>
      <c r="F77" s="41"/>
      <c r="G77" s="41"/>
      <c r="H77" s="41"/>
      <c r="I77" s="41"/>
      <c r="J77" s="41"/>
      <c r="K77" s="41"/>
      <c r="L77" s="41"/>
      <c r="M77" s="41"/>
      <c r="N77" s="41"/>
      <c r="O77" s="41"/>
      <c r="P77" s="41"/>
      <c r="Q77" s="41"/>
    </row>
    <row r="78" spans="1:17" x14ac:dyDescent="0.25">
      <c r="A78" s="41"/>
      <c r="B78" s="41"/>
      <c r="C78" s="41"/>
      <c r="D78" s="41"/>
      <c r="E78" s="41"/>
      <c r="F78" s="41"/>
      <c r="G78" s="41"/>
      <c r="H78" s="41"/>
      <c r="I78" s="41"/>
      <c r="J78" s="41"/>
      <c r="K78" s="41"/>
      <c r="L78" s="41"/>
      <c r="M78" s="41"/>
      <c r="N78" s="41"/>
      <c r="O78" s="41"/>
      <c r="P78" s="41"/>
      <c r="Q78" s="41"/>
    </row>
    <row r="79" spans="1:17" x14ac:dyDescent="0.25">
      <c r="A79" s="41"/>
      <c r="B79" s="41"/>
      <c r="C79" s="41"/>
      <c r="D79" s="41"/>
      <c r="E79" s="41"/>
      <c r="F79" s="41"/>
      <c r="G79" s="41"/>
      <c r="H79" s="41"/>
      <c r="I79" s="41"/>
      <c r="J79" s="41"/>
      <c r="K79" s="41"/>
      <c r="L79" s="41"/>
      <c r="M79" s="41"/>
      <c r="N79" s="41"/>
      <c r="O79" s="41"/>
      <c r="P79" s="41"/>
      <c r="Q79" s="41"/>
    </row>
    <row r="80" spans="1:17" x14ac:dyDescent="0.25">
      <c r="A80" s="41"/>
      <c r="B80" s="41"/>
      <c r="C80" s="41"/>
      <c r="D80" s="41"/>
      <c r="E80" s="41"/>
      <c r="F80" s="41"/>
      <c r="G80" s="41"/>
      <c r="H80" s="41"/>
      <c r="I80" s="41"/>
      <c r="J80" s="41"/>
      <c r="K80" s="41"/>
      <c r="L80" s="41"/>
      <c r="M80" s="41"/>
      <c r="N80" s="41"/>
      <c r="O80" s="41"/>
      <c r="P80" s="41"/>
      <c r="Q80" s="41"/>
    </row>
    <row r="81" spans="1:17" x14ac:dyDescent="0.25">
      <c r="A81" s="41"/>
      <c r="B81" s="41"/>
      <c r="C81" s="41"/>
      <c r="D81" s="41"/>
      <c r="E81" s="41"/>
      <c r="F81" s="41"/>
      <c r="G81" s="41"/>
      <c r="H81" s="41"/>
      <c r="I81" s="41"/>
      <c r="J81" s="41"/>
      <c r="K81" s="41"/>
      <c r="L81" s="41"/>
      <c r="M81" s="41"/>
      <c r="N81" s="41"/>
      <c r="O81" s="41"/>
      <c r="P81" s="41"/>
      <c r="Q81" s="41"/>
    </row>
    <row r="82" spans="1:17" x14ac:dyDescent="0.25">
      <c r="A82" s="41"/>
      <c r="B82" s="41"/>
      <c r="C82" s="41"/>
      <c r="D82" s="41"/>
      <c r="E82" s="41"/>
      <c r="F82" s="41"/>
      <c r="G82" s="41"/>
      <c r="H82" s="41"/>
      <c r="I82" s="41"/>
      <c r="J82" s="41"/>
      <c r="K82" s="41"/>
      <c r="L82" s="41"/>
      <c r="M82" s="41"/>
      <c r="N82" s="41"/>
      <c r="O82" s="41"/>
      <c r="P82" s="41"/>
      <c r="Q82" s="41"/>
    </row>
    <row r="83" spans="1:17" x14ac:dyDescent="0.25">
      <c r="A83" s="41"/>
      <c r="B83" s="41"/>
      <c r="C83" s="41"/>
      <c r="D83" s="41"/>
      <c r="E83" s="41"/>
      <c r="F83" s="41"/>
      <c r="G83" s="41"/>
      <c r="H83" s="41"/>
      <c r="I83" s="41"/>
      <c r="J83" s="41"/>
      <c r="K83" s="41"/>
      <c r="L83" s="41"/>
      <c r="M83" s="41"/>
      <c r="N83" s="41"/>
      <c r="O83" s="41"/>
      <c r="P83" s="41"/>
      <c r="Q83" s="41"/>
    </row>
    <row r="84" spans="1:17" x14ac:dyDescent="0.25">
      <c r="A84" s="41"/>
      <c r="B84" s="41"/>
      <c r="C84" s="41"/>
      <c r="D84" s="41"/>
      <c r="E84" s="41"/>
      <c r="F84" s="41"/>
      <c r="G84" s="41"/>
      <c r="H84" s="41"/>
      <c r="I84" s="41"/>
      <c r="J84" s="41"/>
      <c r="K84" s="41"/>
      <c r="L84" s="41"/>
      <c r="M84" s="41"/>
      <c r="N84" s="41"/>
      <c r="O84" s="41"/>
      <c r="P84" s="41"/>
      <c r="Q84" s="41"/>
    </row>
    <row r="85" spans="1:17" x14ac:dyDescent="0.25">
      <c r="A85" s="41"/>
      <c r="B85" s="41"/>
      <c r="C85" s="41"/>
      <c r="D85" s="41"/>
      <c r="E85" s="41"/>
      <c r="F85" s="41"/>
      <c r="G85" s="41"/>
      <c r="H85" s="41"/>
      <c r="I85" s="41"/>
      <c r="J85" s="41"/>
      <c r="K85" s="41"/>
      <c r="L85" s="41"/>
      <c r="M85" s="41"/>
      <c r="N85" s="41"/>
      <c r="O85" s="41"/>
      <c r="P85" s="41"/>
      <c r="Q85" s="41"/>
    </row>
    <row r="86" spans="1:17" x14ac:dyDescent="0.25">
      <c r="A86" s="41"/>
      <c r="B86" s="41"/>
      <c r="C86" s="41"/>
      <c r="D86" s="41"/>
      <c r="E86" s="41"/>
      <c r="F86" s="41"/>
      <c r="G86" s="41"/>
      <c r="H86" s="41"/>
      <c r="I86" s="41"/>
      <c r="J86" s="41"/>
      <c r="K86" s="41"/>
      <c r="L86" s="41"/>
      <c r="M86" s="41"/>
      <c r="N86" s="41"/>
      <c r="O86" s="41"/>
      <c r="P86" s="41"/>
      <c r="Q86" s="41"/>
    </row>
    <row r="87" spans="1:17" x14ac:dyDescent="0.25">
      <c r="A87" s="41"/>
      <c r="B87" s="41"/>
      <c r="C87" s="41"/>
      <c r="D87" s="41"/>
      <c r="E87" s="41"/>
      <c r="F87" s="41"/>
      <c r="G87" s="41"/>
      <c r="H87" s="41"/>
      <c r="I87" s="41"/>
      <c r="J87" s="41"/>
      <c r="K87" s="41"/>
      <c r="L87" s="41"/>
      <c r="M87" s="41"/>
      <c r="N87" s="41"/>
      <c r="O87" s="41"/>
      <c r="P87" s="41"/>
      <c r="Q87" s="41"/>
    </row>
    <row r="88" spans="1:17" x14ac:dyDescent="0.25">
      <c r="A88" s="41"/>
      <c r="B88" s="41"/>
      <c r="C88" s="41"/>
      <c r="D88" s="41"/>
      <c r="E88" s="41"/>
      <c r="F88" s="41"/>
      <c r="G88" s="41"/>
      <c r="H88" s="41"/>
      <c r="I88" s="41"/>
      <c r="J88" s="41"/>
      <c r="K88" s="41"/>
      <c r="L88" s="41"/>
      <c r="M88" s="41"/>
      <c r="N88" s="41"/>
      <c r="O88" s="41"/>
      <c r="P88" s="41"/>
      <c r="Q88" s="41"/>
    </row>
    <row r="89" spans="1:17" x14ac:dyDescent="0.25">
      <c r="A89" s="41"/>
      <c r="B89" s="41"/>
      <c r="C89" s="41"/>
      <c r="D89" s="41"/>
      <c r="E89" s="41"/>
      <c r="F89" s="41"/>
      <c r="G89" s="41"/>
      <c r="H89" s="41"/>
      <c r="I89" s="41"/>
      <c r="J89" s="41"/>
      <c r="K89" s="41"/>
      <c r="L89" s="41"/>
      <c r="M89" s="41"/>
      <c r="N89" s="41"/>
      <c r="O89" s="41"/>
      <c r="P89" s="41"/>
      <c r="Q89" s="41"/>
    </row>
    <row r="90" spans="1:17" x14ac:dyDescent="0.25">
      <c r="A90" s="41"/>
      <c r="B90" s="41"/>
      <c r="C90" s="41"/>
      <c r="D90" s="41"/>
      <c r="E90" s="41"/>
      <c r="F90" s="41"/>
      <c r="G90" s="41"/>
      <c r="H90" s="41"/>
      <c r="I90" s="41"/>
      <c r="J90" s="41"/>
      <c r="K90" s="41"/>
      <c r="L90" s="41"/>
      <c r="M90" s="41"/>
      <c r="N90" s="41"/>
      <c r="O90" s="41"/>
      <c r="P90" s="41"/>
      <c r="Q90" s="41"/>
    </row>
    <row r="91" spans="1:17" x14ac:dyDescent="0.25">
      <c r="A91" s="41"/>
      <c r="B91" s="41"/>
      <c r="C91" s="41"/>
      <c r="D91" s="41"/>
      <c r="E91" s="41"/>
      <c r="F91" s="41"/>
      <c r="G91" s="41"/>
      <c r="H91" s="41"/>
      <c r="I91" s="41"/>
      <c r="J91" s="41"/>
      <c r="K91" s="41"/>
      <c r="L91" s="41"/>
      <c r="M91" s="41"/>
      <c r="N91" s="41"/>
      <c r="O91" s="41"/>
      <c r="P91" s="41"/>
      <c r="Q91" s="41"/>
    </row>
    <row r="92" spans="1:17" x14ac:dyDescent="0.25">
      <c r="A92" s="41"/>
      <c r="B92" s="41"/>
      <c r="C92" s="41"/>
      <c r="D92" s="41"/>
      <c r="E92" s="41"/>
      <c r="F92" s="41"/>
      <c r="G92" s="41"/>
      <c r="H92" s="41"/>
      <c r="I92" s="41"/>
      <c r="J92" s="41"/>
      <c r="K92" s="41"/>
      <c r="L92" s="41"/>
      <c r="M92" s="41"/>
      <c r="N92" s="41"/>
      <c r="O92" s="41"/>
      <c r="P92" s="41"/>
      <c r="Q92" s="41"/>
    </row>
    <row r="93" spans="1:17" x14ac:dyDescent="0.25">
      <c r="A93" s="41"/>
      <c r="B93" s="41"/>
      <c r="C93" s="41"/>
      <c r="D93" s="41"/>
      <c r="E93" s="41"/>
      <c r="F93" s="41"/>
      <c r="G93" s="41"/>
      <c r="H93" s="41"/>
      <c r="I93" s="41"/>
      <c r="J93" s="41"/>
      <c r="K93" s="41"/>
      <c r="L93" s="41"/>
      <c r="M93" s="41"/>
      <c r="N93" s="41"/>
      <c r="O93" s="41"/>
      <c r="P93" s="41"/>
      <c r="Q93" s="41"/>
    </row>
    <row r="94" spans="1:17" x14ac:dyDescent="0.25">
      <c r="A94" s="41"/>
      <c r="B94" s="41"/>
      <c r="C94" s="41"/>
      <c r="D94" s="41"/>
      <c r="E94" s="41"/>
      <c r="F94" s="41"/>
      <c r="G94" s="41"/>
      <c r="H94" s="41"/>
      <c r="I94" s="41"/>
      <c r="J94" s="41"/>
      <c r="K94" s="41"/>
      <c r="L94" s="41"/>
      <c r="M94" s="41"/>
      <c r="N94" s="41"/>
      <c r="O94" s="41"/>
      <c r="P94" s="41"/>
      <c r="Q94" s="41"/>
    </row>
    <row r="95" spans="1:17" x14ac:dyDescent="0.25">
      <c r="A95" s="41"/>
      <c r="B95" s="41"/>
      <c r="C95" s="41"/>
      <c r="D95" s="41"/>
      <c r="E95" s="41"/>
      <c r="F95" s="41"/>
      <c r="G95" s="41"/>
      <c r="H95" s="41"/>
      <c r="I95" s="41"/>
      <c r="J95" s="41"/>
      <c r="K95" s="41"/>
      <c r="L95" s="41"/>
      <c r="M95" s="41"/>
      <c r="N95" s="41"/>
      <c r="O95" s="41"/>
      <c r="P95" s="41"/>
      <c r="Q95" s="41"/>
    </row>
    <row r="96" spans="1:17" x14ac:dyDescent="0.25">
      <c r="A96" s="41"/>
      <c r="B96" s="41"/>
      <c r="C96" s="41"/>
      <c r="D96" s="41"/>
      <c r="E96" s="41"/>
      <c r="F96" s="41"/>
      <c r="G96" s="41"/>
      <c r="H96" s="41"/>
      <c r="I96" s="41"/>
      <c r="J96" s="41"/>
      <c r="K96" s="41"/>
      <c r="L96" s="41"/>
      <c r="M96" s="41"/>
      <c r="N96" s="41"/>
      <c r="O96" s="41"/>
      <c r="P96" s="41"/>
      <c r="Q96" s="41"/>
    </row>
    <row r="97" spans="1:17" x14ac:dyDescent="0.25">
      <c r="A97" s="41"/>
      <c r="B97" s="41"/>
      <c r="C97" s="41"/>
      <c r="D97" s="41"/>
      <c r="E97" s="41"/>
      <c r="F97" s="41"/>
      <c r="G97" s="41"/>
      <c r="H97" s="41"/>
      <c r="I97" s="41"/>
      <c r="J97" s="41"/>
      <c r="K97" s="41"/>
      <c r="L97" s="41"/>
      <c r="M97" s="41"/>
      <c r="N97" s="41"/>
      <c r="O97" s="41"/>
      <c r="P97" s="41"/>
      <c r="Q97" s="41"/>
    </row>
    <row r="98" spans="1:17" x14ac:dyDescent="0.25">
      <c r="A98" s="41"/>
      <c r="B98" s="41"/>
      <c r="C98" s="41"/>
      <c r="D98" s="41"/>
      <c r="E98" s="41"/>
      <c r="F98" s="41"/>
      <c r="G98" s="41"/>
      <c r="H98" s="41"/>
      <c r="I98" s="41"/>
      <c r="J98" s="41"/>
      <c r="K98" s="41"/>
      <c r="L98" s="41"/>
      <c r="M98" s="41"/>
      <c r="N98" s="41"/>
      <c r="O98" s="41"/>
      <c r="P98" s="41"/>
      <c r="Q98" s="41"/>
    </row>
    <row r="99" spans="1:17" x14ac:dyDescent="0.25">
      <c r="A99" s="41"/>
      <c r="B99" s="41"/>
      <c r="C99" s="41"/>
      <c r="D99" s="41"/>
      <c r="E99" s="41"/>
      <c r="F99" s="41"/>
      <c r="G99" s="41"/>
      <c r="H99" s="41"/>
      <c r="I99" s="41"/>
      <c r="J99" s="41"/>
      <c r="K99" s="41"/>
      <c r="L99" s="41"/>
      <c r="M99" s="41"/>
      <c r="N99" s="41"/>
      <c r="O99" s="41"/>
      <c r="P99" s="41"/>
      <c r="Q99" s="41"/>
    </row>
    <row r="100" spans="1:17" x14ac:dyDescent="0.25">
      <c r="A100" s="41"/>
      <c r="B100" s="41"/>
      <c r="C100" s="41"/>
      <c r="D100" s="41"/>
      <c r="E100" s="41"/>
      <c r="F100" s="41"/>
      <c r="G100" s="41"/>
      <c r="H100" s="41"/>
      <c r="I100" s="41"/>
      <c r="J100" s="41"/>
      <c r="K100" s="41"/>
      <c r="L100" s="41"/>
      <c r="M100" s="41"/>
      <c r="N100" s="41"/>
      <c r="O100" s="41"/>
      <c r="P100" s="41"/>
      <c r="Q100" s="41"/>
    </row>
    <row r="101" spans="1:17" x14ac:dyDescent="0.25">
      <c r="A101" s="41"/>
      <c r="B101" s="41"/>
      <c r="C101" s="41"/>
      <c r="D101" s="41"/>
      <c r="E101" s="41"/>
      <c r="F101" s="41"/>
      <c r="G101" s="41"/>
      <c r="H101" s="41"/>
      <c r="I101" s="41"/>
      <c r="J101" s="41"/>
      <c r="K101" s="41"/>
      <c r="L101" s="41"/>
      <c r="M101" s="41"/>
      <c r="N101" s="41"/>
      <c r="O101" s="41"/>
      <c r="P101" s="41"/>
      <c r="Q101" s="41"/>
    </row>
    <row r="102" spans="1:17" x14ac:dyDescent="0.25">
      <c r="A102" s="41"/>
      <c r="B102" s="41"/>
      <c r="C102" s="41"/>
      <c r="D102" s="41"/>
      <c r="E102" s="41"/>
      <c r="F102" s="41"/>
      <c r="G102" s="41"/>
      <c r="H102" s="41"/>
      <c r="I102" s="41"/>
      <c r="J102" s="41"/>
      <c r="K102" s="41"/>
      <c r="L102" s="41"/>
      <c r="M102" s="41"/>
      <c r="N102" s="41"/>
      <c r="O102" s="41"/>
      <c r="P102" s="41"/>
      <c r="Q102" s="41"/>
    </row>
    <row r="103" spans="1:17" x14ac:dyDescent="0.25">
      <c r="A103" s="41"/>
      <c r="B103" s="41"/>
      <c r="C103" s="41"/>
      <c r="D103" s="41"/>
      <c r="E103" s="41"/>
      <c r="F103" s="41"/>
      <c r="G103" s="41"/>
      <c r="H103" s="41"/>
      <c r="I103" s="41"/>
      <c r="J103" s="41"/>
      <c r="K103" s="41"/>
      <c r="L103" s="41"/>
      <c r="M103" s="41"/>
      <c r="N103" s="41"/>
      <c r="O103" s="41"/>
      <c r="P103" s="41"/>
      <c r="Q103" s="41"/>
    </row>
    <row r="104" spans="1:17" x14ac:dyDescent="0.25">
      <c r="A104" s="41"/>
      <c r="B104" s="41"/>
      <c r="C104" s="41"/>
      <c r="D104" s="41"/>
      <c r="E104" s="41"/>
      <c r="F104" s="41"/>
      <c r="G104" s="41"/>
      <c r="H104" s="41"/>
      <c r="I104" s="41"/>
      <c r="J104" s="41"/>
      <c r="K104" s="41"/>
      <c r="L104" s="41"/>
      <c r="M104" s="41"/>
      <c r="N104" s="41"/>
      <c r="O104" s="41"/>
      <c r="P104" s="41"/>
      <c r="Q104" s="41"/>
    </row>
    <row r="105" spans="1:17" x14ac:dyDescent="0.25">
      <c r="A105" s="41"/>
      <c r="B105" s="41"/>
      <c r="C105" s="41"/>
      <c r="D105" s="41"/>
      <c r="E105" s="41"/>
      <c r="F105" s="41"/>
      <c r="G105" s="41"/>
      <c r="H105" s="41"/>
      <c r="I105" s="41"/>
      <c r="J105" s="41"/>
      <c r="K105" s="41"/>
      <c r="L105" s="41"/>
      <c r="M105" s="41"/>
      <c r="N105" s="41"/>
      <c r="O105" s="41"/>
      <c r="P105" s="41"/>
      <c r="Q105" s="41"/>
    </row>
    <row r="106" spans="1:17" x14ac:dyDescent="0.25">
      <c r="A106" s="41"/>
      <c r="B106" s="41"/>
      <c r="C106" s="41"/>
      <c r="D106" s="41"/>
      <c r="E106" s="41"/>
      <c r="F106" s="41"/>
      <c r="G106" s="41"/>
      <c r="H106" s="41"/>
      <c r="I106" s="41"/>
      <c r="J106" s="41"/>
      <c r="K106" s="41"/>
      <c r="L106" s="41"/>
      <c r="M106" s="41"/>
      <c r="N106" s="41"/>
      <c r="O106" s="41"/>
      <c r="P106" s="41"/>
      <c r="Q106" s="41"/>
    </row>
    <row r="107" spans="1:17" x14ac:dyDescent="0.25">
      <c r="A107" s="41"/>
      <c r="B107" s="41"/>
      <c r="C107" s="41"/>
      <c r="D107" s="41"/>
      <c r="E107" s="41"/>
      <c r="F107" s="41"/>
      <c r="G107" s="41"/>
      <c r="H107" s="41"/>
      <c r="I107" s="41"/>
      <c r="J107" s="41"/>
      <c r="K107" s="41"/>
      <c r="L107" s="41"/>
      <c r="M107" s="41"/>
      <c r="N107" s="41"/>
      <c r="O107" s="41"/>
      <c r="P107" s="41"/>
      <c r="Q107" s="41"/>
    </row>
    <row r="108" spans="1:17" x14ac:dyDescent="0.25">
      <c r="A108" s="41"/>
      <c r="B108" s="41"/>
      <c r="C108" s="41"/>
      <c r="D108" s="41"/>
      <c r="E108" s="41"/>
      <c r="F108" s="41"/>
      <c r="G108" s="41"/>
      <c r="H108" s="41"/>
      <c r="I108" s="41"/>
      <c r="J108" s="41"/>
      <c r="K108" s="41"/>
      <c r="L108" s="41"/>
      <c r="M108" s="41"/>
      <c r="N108" s="41"/>
      <c r="O108" s="41"/>
      <c r="P108" s="41"/>
      <c r="Q108" s="41"/>
    </row>
    <row r="109" spans="1:17" x14ac:dyDescent="0.25">
      <c r="A109" s="41"/>
      <c r="B109" s="41"/>
      <c r="C109" s="41"/>
      <c r="D109" s="41"/>
      <c r="E109" s="41"/>
      <c r="F109" s="41"/>
      <c r="G109" s="41"/>
      <c r="H109" s="41"/>
      <c r="I109" s="41"/>
      <c r="J109" s="41"/>
      <c r="K109" s="41"/>
      <c r="L109" s="41"/>
      <c r="M109" s="41"/>
      <c r="N109" s="41"/>
      <c r="O109" s="41"/>
      <c r="P109" s="41"/>
      <c r="Q109" s="41"/>
    </row>
    <row r="110" spans="1:17" x14ac:dyDescent="0.25">
      <c r="A110" s="41"/>
      <c r="B110" s="41"/>
      <c r="C110" s="41"/>
      <c r="D110" s="41"/>
      <c r="E110" s="41"/>
      <c r="F110" s="41"/>
      <c r="G110" s="41"/>
      <c r="H110" s="41"/>
      <c r="I110" s="41"/>
      <c r="J110" s="41"/>
      <c r="K110" s="41"/>
      <c r="L110" s="41"/>
      <c r="M110" s="41"/>
      <c r="N110" s="41"/>
      <c r="O110" s="41"/>
      <c r="P110" s="41"/>
      <c r="Q110" s="41"/>
    </row>
    <row r="111" spans="1:17" x14ac:dyDescent="0.25">
      <c r="A111" s="41"/>
      <c r="B111" s="41"/>
      <c r="C111" s="41"/>
      <c r="D111" s="41"/>
      <c r="E111" s="41"/>
      <c r="F111" s="41"/>
      <c r="G111" s="41"/>
      <c r="H111" s="41"/>
      <c r="I111" s="41"/>
      <c r="J111" s="41"/>
      <c r="K111" s="41"/>
      <c r="L111" s="41"/>
      <c r="M111" s="41"/>
      <c r="N111" s="41"/>
      <c r="O111" s="41"/>
      <c r="P111" s="41"/>
      <c r="Q111" s="41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EDDB78-021A-4430-BAFA-37166EED4A9E}">
  <sheetPr codeName="Hoja5">
    <tabColor theme="7"/>
  </sheetPr>
  <dimension ref="B2:N47"/>
  <sheetViews>
    <sheetView topLeftCell="B1" zoomScaleNormal="100" workbookViewId="0">
      <selection activeCell="F14" sqref="F14"/>
    </sheetView>
  </sheetViews>
  <sheetFormatPr baseColWidth="10" defaultRowHeight="14.25" x14ac:dyDescent="0.2"/>
  <cols>
    <col min="1" max="3" width="11.42578125" style="8"/>
    <col min="4" max="4" width="14.5703125" style="8" bestFit="1" customWidth="1"/>
    <col min="5" max="8" width="20.5703125" style="8" bestFit="1" customWidth="1"/>
    <col min="9" max="9" width="23.28515625" style="8" bestFit="1" customWidth="1"/>
    <col min="10" max="11" width="23.28515625" style="8" customWidth="1"/>
    <col min="12" max="12" width="23.28515625" style="8" bestFit="1" customWidth="1"/>
    <col min="13" max="16384" width="11.42578125" style="8"/>
  </cols>
  <sheetData>
    <row r="2" spans="2:13" ht="15" customHeight="1" x14ac:dyDescent="0.35">
      <c r="F2" s="90" t="s">
        <v>80</v>
      </c>
    </row>
    <row r="3" spans="2:13" ht="15" customHeight="1" x14ac:dyDescent="0.2">
      <c r="B3" s="104" t="s">
        <v>52</v>
      </c>
      <c r="C3" s="104"/>
      <c r="D3" s="104"/>
      <c r="E3" s="74">
        <v>1</v>
      </c>
      <c r="F3" s="74">
        <v>2</v>
      </c>
      <c r="G3" s="74">
        <v>3</v>
      </c>
      <c r="H3" s="74">
        <v>4</v>
      </c>
      <c r="I3" s="74">
        <v>5</v>
      </c>
      <c r="J3" s="74">
        <v>6</v>
      </c>
      <c r="K3" s="74">
        <v>7</v>
      </c>
    </row>
    <row r="4" spans="2:13" ht="15.75" x14ac:dyDescent="0.2">
      <c r="B4" s="104" t="s">
        <v>53</v>
      </c>
      <c r="C4" s="104"/>
      <c r="D4" s="104"/>
      <c r="E4" s="73">
        <f>Estado!D7</f>
        <v>500000</v>
      </c>
      <c r="F4" s="73">
        <f>Estado!E7</f>
        <v>525300</v>
      </c>
      <c r="G4" s="73">
        <f>Estado!F7</f>
        <v>551880.18000000005</v>
      </c>
      <c r="H4" s="73">
        <f>Estado!G7</f>
        <v>579805.31710800005</v>
      </c>
      <c r="I4" s="73">
        <f>Estado!H7</f>
        <v>609143.46615366486</v>
      </c>
      <c r="J4" s="73">
        <f>Estado!I7</f>
        <v>639966.12554104021</v>
      </c>
      <c r="K4" s="73"/>
    </row>
    <row r="5" spans="2:13" ht="15.75" x14ac:dyDescent="0.2">
      <c r="B5" s="104" t="s">
        <v>79</v>
      </c>
      <c r="C5" s="104"/>
      <c r="D5" s="104"/>
      <c r="E5" s="73">
        <f t="shared" ref="E5:I5" si="0">E4*40%</f>
        <v>200000</v>
      </c>
      <c r="F5" s="73">
        <f t="shared" si="0"/>
        <v>210120</v>
      </c>
      <c r="G5" s="73">
        <f t="shared" si="0"/>
        <v>220752.07200000004</v>
      </c>
      <c r="H5" s="73">
        <f t="shared" si="0"/>
        <v>231922.12684320004</v>
      </c>
      <c r="I5" s="73">
        <f t="shared" si="0"/>
        <v>243657.38646146597</v>
      </c>
      <c r="J5" s="73">
        <f>J4*40%</f>
        <v>255986.45021641609</v>
      </c>
      <c r="K5" s="73"/>
    </row>
    <row r="6" spans="2:13" ht="15.75" x14ac:dyDescent="0.2">
      <c r="B6" s="104" t="s">
        <v>81</v>
      </c>
      <c r="C6" s="104"/>
      <c r="D6" s="104"/>
      <c r="E6" s="73">
        <v>360000</v>
      </c>
      <c r="F6" s="73">
        <f>E4*60%</f>
        <v>300000</v>
      </c>
      <c r="G6" s="73">
        <f t="shared" ref="G6:I6" si="1">F4*60%</f>
        <v>315180</v>
      </c>
      <c r="H6" s="73">
        <f t="shared" si="1"/>
        <v>331128.10800000001</v>
      </c>
      <c r="I6" s="73">
        <f t="shared" si="1"/>
        <v>347883.19026480004</v>
      </c>
      <c r="J6" s="73">
        <f>I4*60%</f>
        <v>365486.07969219889</v>
      </c>
      <c r="K6" s="73">
        <f>J4*0.6</f>
        <v>383979.67532462411</v>
      </c>
    </row>
    <row r="7" spans="2:13" ht="15" customHeight="1" x14ac:dyDescent="0.2">
      <c r="B7" s="103" t="s">
        <v>78</v>
      </c>
      <c r="C7" s="103"/>
      <c r="D7" s="103"/>
      <c r="E7" s="71">
        <f>E5+E6</f>
        <v>560000</v>
      </c>
      <c r="F7" s="71">
        <f t="shared" ref="F7:I7" si="2">F5+F6</f>
        <v>510120</v>
      </c>
      <c r="G7" s="71">
        <f t="shared" si="2"/>
        <v>535932.07200000004</v>
      </c>
      <c r="H7" s="71">
        <f t="shared" si="2"/>
        <v>563050.23484320007</v>
      </c>
      <c r="I7" s="71">
        <f t="shared" si="2"/>
        <v>591540.57672626595</v>
      </c>
      <c r="J7" s="71">
        <f>J5+J6</f>
        <v>621472.52990861493</v>
      </c>
      <c r="K7" s="71"/>
    </row>
    <row r="8" spans="2:13" ht="15.75" x14ac:dyDescent="0.2">
      <c r="B8" s="104" t="s">
        <v>82</v>
      </c>
      <c r="C8" s="104"/>
      <c r="D8" s="104"/>
      <c r="E8" s="73">
        <f>Calculos!D25</f>
        <v>150000</v>
      </c>
      <c r="F8" s="73">
        <f>Calculos!E25</f>
        <v>156045</v>
      </c>
      <c r="G8" s="73">
        <f>Calculos!F25</f>
        <v>162333.61349999998</v>
      </c>
      <c r="H8" s="73">
        <f>Calculos!G25</f>
        <v>168875.65812404998</v>
      </c>
      <c r="I8" s="73">
        <f>Calculos!H25</f>
        <v>175681.3471464492</v>
      </c>
      <c r="J8" s="73">
        <f>Calculos!I25</f>
        <v>182761.3054364511</v>
      </c>
      <c r="K8" s="73"/>
      <c r="M8" s="70"/>
    </row>
    <row r="9" spans="2:13" ht="15.75" x14ac:dyDescent="0.2">
      <c r="B9" s="104" t="s">
        <v>83</v>
      </c>
      <c r="C9" s="104"/>
      <c r="D9" s="104"/>
      <c r="E9" s="73">
        <f>Estado!D13</f>
        <v>150000</v>
      </c>
      <c r="F9" s="73">
        <f>Estado!E13</f>
        <v>156045</v>
      </c>
      <c r="G9" s="73">
        <f>Estado!F13</f>
        <v>162333.61349999998</v>
      </c>
      <c r="H9" s="73">
        <f>Estado!G13</f>
        <v>168875.65812404998</v>
      </c>
      <c r="I9" s="73">
        <f>Estado!H13</f>
        <v>175681.3471464492</v>
      </c>
      <c r="J9" s="73">
        <f>Estado!I13</f>
        <v>182761.3054364511</v>
      </c>
      <c r="K9" s="73"/>
      <c r="M9" s="70"/>
    </row>
    <row r="10" spans="2:13" ht="15.75" x14ac:dyDescent="0.2">
      <c r="B10" s="104" t="s">
        <v>84</v>
      </c>
      <c r="C10" s="104"/>
      <c r="D10" s="104"/>
      <c r="E10" s="73">
        <f>Estado!D14</f>
        <v>100000</v>
      </c>
      <c r="F10" s="73">
        <f>Estado!E14</f>
        <v>104030</v>
      </c>
      <c r="G10" s="73">
        <f>Estado!F14</f>
        <v>108222.409</v>
      </c>
      <c r="H10" s="73">
        <f>Estado!G14</f>
        <v>112583.77208269999</v>
      </c>
      <c r="I10" s="73">
        <f>Estado!H14</f>
        <v>117120.89809763279</v>
      </c>
      <c r="J10" s="73">
        <f>Estado!I14</f>
        <v>121840.87029096737</v>
      </c>
      <c r="K10" s="73"/>
      <c r="M10" s="70"/>
    </row>
    <row r="11" spans="2:13" ht="15" customHeight="1" x14ac:dyDescent="0.2">
      <c r="B11" s="108" t="s">
        <v>110</v>
      </c>
      <c r="C11" s="109"/>
      <c r="D11" s="110"/>
      <c r="E11" s="73">
        <v>1000</v>
      </c>
      <c r="F11" s="73">
        <v>0</v>
      </c>
      <c r="G11" s="73">
        <v>0</v>
      </c>
      <c r="H11" s="73">
        <v>0</v>
      </c>
      <c r="I11" s="73">
        <v>0</v>
      </c>
      <c r="J11" s="73">
        <v>0</v>
      </c>
      <c r="K11" s="73"/>
      <c r="M11" s="70"/>
    </row>
    <row r="12" spans="2:13" ht="15.75" x14ac:dyDescent="0.2">
      <c r="B12" s="104" t="s">
        <v>85</v>
      </c>
      <c r="C12" s="104"/>
      <c r="D12" s="104"/>
      <c r="E12" s="73">
        <f>E4*0.16/1.16</f>
        <v>68965.517241379319</v>
      </c>
      <c r="F12" s="73">
        <f t="shared" ref="F12:I12" si="3">F4*0.16/1.16</f>
        <v>72455.172413793101</v>
      </c>
      <c r="G12" s="73">
        <f t="shared" si="3"/>
        <v>76121.404137931037</v>
      </c>
      <c r="H12" s="73">
        <f t="shared" si="3"/>
        <v>79973.147187310358</v>
      </c>
      <c r="I12" s="73">
        <f t="shared" si="3"/>
        <v>84019.788434988266</v>
      </c>
      <c r="J12" s="73">
        <f>J4*0.16/1.16</f>
        <v>88271.189729798658</v>
      </c>
      <c r="K12" s="73"/>
      <c r="M12" s="70"/>
    </row>
    <row r="13" spans="2:13" ht="15.75" x14ac:dyDescent="0.2">
      <c r="B13" s="104" t="s">
        <v>61</v>
      </c>
      <c r="C13" s="104"/>
      <c r="D13" s="104"/>
      <c r="E13" s="73">
        <f>-P1</f>
        <v>0</v>
      </c>
      <c r="F13" s="73">
        <v>0</v>
      </c>
      <c r="G13" s="73">
        <f>Estado!G15*0.2</f>
        <v>9599.4163179779371</v>
      </c>
      <c r="H13" s="73">
        <f>Estado!H15*0.2</f>
        <v>11028.017065629087</v>
      </c>
      <c r="I13" s="73">
        <f>Estado!I15*0.2</f>
        <v>12566.290929474386</v>
      </c>
      <c r="J13" s="73">
        <f>Estado!J15*0.2</f>
        <v>0</v>
      </c>
      <c r="K13" s="73"/>
    </row>
    <row r="14" spans="2:13" ht="15" customHeight="1" x14ac:dyDescent="0.2">
      <c r="B14" s="104" t="s">
        <v>111</v>
      </c>
      <c r="C14" s="104"/>
      <c r="D14" s="104"/>
      <c r="E14" s="73">
        <v>50000</v>
      </c>
      <c r="F14" s="73"/>
      <c r="G14" s="73"/>
      <c r="H14" s="73"/>
      <c r="I14" s="73"/>
      <c r="J14" s="73"/>
      <c r="K14" s="73"/>
    </row>
    <row r="15" spans="2:13" ht="15.75" x14ac:dyDescent="0.2">
      <c r="B15" s="103" t="s">
        <v>86</v>
      </c>
      <c r="C15" s="103"/>
      <c r="D15" s="103"/>
      <c r="E15" s="71">
        <f>SUM(E8:E14)</f>
        <v>519965.5172413793</v>
      </c>
      <c r="F15" s="71">
        <f>SUM(F8:F14)</f>
        <v>488575.1724137931</v>
      </c>
      <c r="G15" s="71">
        <f>SUM(G8:G14)</f>
        <v>518610.45645590895</v>
      </c>
      <c r="H15" s="71">
        <f>SUM(H8:H14)</f>
        <v>541336.25258373946</v>
      </c>
      <c r="I15" s="71">
        <f>SUM(I8:I14)</f>
        <v>565069.67175499385</v>
      </c>
      <c r="J15" s="71">
        <f>SUM(J8:J14)</f>
        <v>575634.67089366831</v>
      </c>
      <c r="K15" s="71"/>
    </row>
    <row r="16" spans="2:13" ht="15.75" x14ac:dyDescent="0.2">
      <c r="B16" s="112" t="s">
        <v>88</v>
      </c>
      <c r="C16" s="112"/>
      <c r="D16" s="112"/>
      <c r="E16" s="72">
        <f>E7-E15</f>
        <v>40034.482758620696</v>
      </c>
      <c r="F16" s="72">
        <f>F7-F15</f>
        <v>21544.827586206899</v>
      </c>
      <c r="G16" s="72">
        <f>G7-G15</f>
        <v>17321.615544091095</v>
      </c>
      <c r="H16" s="72">
        <f>H7-H15</f>
        <v>21713.982259460608</v>
      </c>
      <c r="I16" s="72">
        <f>I7-I15</f>
        <v>26470.904971272103</v>
      </c>
      <c r="J16" s="72">
        <f>J7-J15</f>
        <v>45837.859014946618</v>
      </c>
      <c r="K16" s="72"/>
    </row>
    <row r="17" spans="2:11" ht="15.75" customHeight="1" x14ac:dyDescent="0.2">
      <c r="B17" s="111" t="s">
        <v>112</v>
      </c>
      <c r="C17" s="111"/>
      <c r="D17" s="111"/>
      <c r="E17" s="76">
        <v>90000</v>
      </c>
      <c r="F17" s="76">
        <f>E18</f>
        <v>130034.4827586207</v>
      </c>
      <c r="G17" s="76">
        <f t="shared" ref="G17:J17" si="4">F18</f>
        <v>151579.31034482759</v>
      </c>
      <c r="H17" s="76">
        <f t="shared" si="4"/>
        <v>168900.92588891869</v>
      </c>
      <c r="I17" s="76">
        <f t="shared" si="4"/>
        <v>190614.9081483793</v>
      </c>
      <c r="J17" s="76">
        <f t="shared" si="4"/>
        <v>217085.8131196514</v>
      </c>
      <c r="K17" s="91"/>
    </row>
    <row r="18" spans="2:11" ht="15.75" x14ac:dyDescent="0.2">
      <c r="B18" s="106" t="s">
        <v>89</v>
      </c>
      <c r="C18" s="106"/>
      <c r="D18" s="106"/>
      <c r="E18" s="77">
        <f>E17+E16</f>
        <v>130034.4827586207</v>
      </c>
      <c r="F18" s="77">
        <f t="shared" ref="F18:J18" si="5">F17+F16</f>
        <v>151579.31034482759</v>
      </c>
      <c r="G18" s="77">
        <f t="shared" si="5"/>
        <v>168900.92588891869</v>
      </c>
      <c r="H18" s="77">
        <f t="shared" si="5"/>
        <v>190614.9081483793</v>
      </c>
      <c r="I18" s="77">
        <f t="shared" si="5"/>
        <v>217085.8131196514</v>
      </c>
      <c r="J18" s="77">
        <f t="shared" si="5"/>
        <v>262923.67213459802</v>
      </c>
      <c r="K18" s="92"/>
    </row>
    <row r="19" spans="2:11" ht="18.75" x14ac:dyDescent="0.2">
      <c r="B19" s="107"/>
      <c r="C19" s="107"/>
      <c r="D19" s="107"/>
      <c r="E19" s="78"/>
      <c r="F19" s="78"/>
      <c r="G19" s="78"/>
      <c r="H19" s="78"/>
      <c r="I19" s="78"/>
      <c r="J19" s="78"/>
      <c r="K19" s="93"/>
    </row>
    <row r="37" spans="4:14" ht="15" x14ac:dyDescent="0.25">
      <c r="H37" s="75"/>
      <c r="I37" s="75"/>
      <c r="J37" s="79"/>
      <c r="K37" s="79"/>
    </row>
    <row r="46" spans="4:14" ht="15" x14ac:dyDescent="0.25">
      <c r="L46" s="75"/>
      <c r="M46" s="75"/>
      <c r="N46" s="75"/>
    </row>
    <row r="47" spans="4:14" ht="15" x14ac:dyDescent="0.25">
      <c r="D47" s="105"/>
      <c r="E47" s="105"/>
      <c r="F47" s="105"/>
      <c r="G47" s="75"/>
      <c r="H47" s="75"/>
      <c r="I47" s="75"/>
      <c r="J47" s="79"/>
      <c r="K47" s="79"/>
    </row>
  </sheetData>
  <mergeCells count="18">
    <mergeCell ref="B13:D13"/>
    <mergeCell ref="D47:F47"/>
    <mergeCell ref="B8:D8"/>
    <mergeCell ref="B9:D9"/>
    <mergeCell ref="B10:D10"/>
    <mergeCell ref="B12:D12"/>
    <mergeCell ref="B18:D18"/>
    <mergeCell ref="B19:D19"/>
    <mergeCell ref="B15:D15"/>
    <mergeCell ref="B11:D11"/>
    <mergeCell ref="B17:D17"/>
    <mergeCell ref="B16:D16"/>
    <mergeCell ref="B14:D14"/>
    <mergeCell ref="B7:D7"/>
    <mergeCell ref="B6:D6"/>
    <mergeCell ref="B5:D5"/>
    <mergeCell ref="B4:D4"/>
    <mergeCell ref="B3:D3"/>
  </mergeCells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5ECB84-B8A1-4531-85D6-EB4DA1B28BE0}">
  <sheetPr codeName="Hoja6">
    <tabColor rgb="FFFF0000"/>
  </sheetPr>
  <dimension ref="C2:K26"/>
  <sheetViews>
    <sheetView tabSelected="1" topLeftCell="B3" zoomScale="85" zoomScaleNormal="85" workbookViewId="0">
      <selection activeCell="G24" sqref="G24:K24"/>
    </sheetView>
  </sheetViews>
  <sheetFormatPr baseColWidth="10" defaultRowHeight="14.25" x14ac:dyDescent="0.2"/>
  <cols>
    <col min="1" max="5" width="11.42578125" style="11"/>
    <col min="6" max="8" width="16.42578125" style="11" bestFit="1" customWidth="1"/>
    <col min="9" max="9" width="14.5703125" style="11" bestFit="1" customWidth="1"/>
    <col min="10" max="10" width="16.42578125" style="11" bestFit="1" customWidth="1"/>
    <col min="11" max="11" width="15.5703125" style="11" bestFit="1" customWidth="1"/>
    <col min="12" max="16384" width="11.42578125" style="11"/>
  </cols>
  <sheetData>
    <row r="2" spans="3:11" ht="22.5" x14ac:dyDescent="0.3">
      <c r="E2" s="89" t="s">
        <v>90</v>
      </c>
    </row>
    <row r="4" spans="3:11" ht="15" x14ac:dyDescent="0.25">
      <c r="C4" s="116" t="s">
        <v>92</v>
      </c>
      <c r="D4" s="117"/>
      <c r="E4" s="118"/>
      <c r="F4" s="87">
        <v>1</v>
      </c>
      <c r="G4" s="87">
        <v>2</v>
      </c>
      <c r="H4" s="87">
        <v>3</v>
      </c>
      <c r="I4" s="87">
        <v>4</v>
      </c>
      <c r="J4" s="87">
        <v>5</v>
      </c>
      <c r="K4" s="87">
        <v>6</v>
      </c>
    </row>
    <row r="5" spans="3:11" ht="15" x14ac:dyDescent="0.25">
      <c r="C5" s="113" t="s">
        <v>91</v>
      </c>
      <c r="D5" s="114"/>
      <c r="E5" s="115"/>
      <c r="F5" s="116"/>
      <c r="G5" s="117"/>
      <c r="H5" s="117"/>
      <c r="I5" s="117"/>
      <c r="J5" s="117"/>
      <c r="K5" s="118"/>
    </row>
    <row r="6" spans="3:11" ht="15" x14ac:dyDescent="0.25">
      <c r="C6" s="119" t="s">
        <v>93</v>
      </c>
      <c r="D6" s="119"/>
      <c r="E6" s="119"/>
      <c r="F6" s="88">
        <f>Flujo!E18</f>
        <v>130034.4827586207</v>
      </c>
      <c r="G6" s="88">
        <f>Flujo!F18</f>
        <v>151579.31034482759</v>
      </c>
      <c r="H6" s="88">
        <f>Flujo!G18</f>
        <v>168900.92588891869</v>
      </c>
      <c r="I6" s="88">
        <f>Flujo!H18</f>
        <v>190614.9081483793</v>
      </c>
      <c r="J6" s="88">
        <f>Flujo!I18</f>
        <v>217085.8131196514</v>
      </c>
      <c r="K6" s="88">
        <f>Flujo!J18</f>
        <v>262923.67213459802</v>
      </c>
    </row>
    <row r="7" spans="3:11" ht="15" x14ac:dyDescent="0.25">
      <c r="C7" s="119" t="s">
        <v>94</v>
      </c>
      <c r="D7" s="119"/>
      <c r="E7" s="119"/>
      <c r="F7" s="88">
        <f>Flujo!F6</f>
        <v>300000</v>
      </c>
      <c r="G7" s="88">
        <f>Flujo!G6</f>
        <v>315180</v>
      </c>
      <c r="H7" s="88">
        <f>Flujo!H6</f>
        <v>331128.10800000001</v>
      </c>
      <c r="I7" s="88">
        <f>Flujo!I6</f>
        <v>347883.19026480004</v>
      </c>
      <c r="J7" s="88">
        <f>Flujo!J6</f>
        <v>365486.07969219889</v>
      </c>
      <c r="K7" s="88">
        <f>Flujo!K6</f>
        <v>383979.67532462411</v>
      </c>
    </row>
    <row r="8" spans="3:11" ht="15" x14ac:dyDescent="0.25">
      <c r="C8" s="113" t="s">
        <v>96</v>
      </c>
      <c r="D8" s="114"/>
      <c r="E8" s="115"/>
      <c r="F8" s="88">
        <f>F7+F6</f>
        <v>430034.4827586207</v>
      </c>
      <c r="G8" s="88">
        <f t="shared" ref="G8:J8" si="0">G7+G6</f>
        <v>466759.31034482759</v>
      </c>
      <c r="H8" s="88">
        <f t="shared" si="0"/>
        <v>500029.0338889187</v>
      </c>
      <c r="I8" s="88">
        <f t="shared" si="0"/>
        <v>538498.0984131794</v>
      </c>
      <c r="J8" s="88">
        <f t="shared" si="0"/>
        <v>582571.8928118503</v>
      </c>
      <c r="K8" s="88">
        <f t="shared" ref="K8" si="1">K7+K6</f>
        <v>646903.34745922219</v>
      </c>
    </row>
    <row r="9" spans="3:11" ht="15" x14ac:dyDescent="0.25">
      <c r="C9" s="116"/>
      <c r="D9" s="117"/>
      <c r="E9" s="117"/>
      <c r="F9" s="117"/>
      <c r="G9" s="117"/>
      <c r="H9" s="117"/>
      <c r="I9" s="117"/>
      <c r="J9" s="117"/>
      <c r="K9" s="118"/>
    </row>
    <row r="10" spans="3:11" ht="15" x14ac:dyDescent="0.25">
      <c r="C10" s="119" t="s">
        <v>100</v>
      </c>
      <c r="D10" s="119"/>
      <c r="E10" s="119"/>
      <c r="F10" s="88">
        <f>Datos!H10</f>
        <v>100000</v>
      </c>
      <c r="G10" s="88">
        <f>Datos!H10</f>
        <v>100000</v>
      </c>
      <c r="H10" s="88">
        <f>Datos!H10</f>
        <v>100000</v>
      </c>
      <c r="I10" s="88">
        <f>Datos!H10</f>
        <v>100000</v>
      </c>
      <c r="J10" s="88">
        <f>Datos!H10</f>
        <v>100000</v>
      </c>
      <c r="K10" s="88">
        <f>Datos!H10</f>
        <v>100000</v>
      </c>
    </row>
    <row r="11" spans="3:11" ht="15" x14ac:dyDescent="0.25">
      <c r="C11" s="119" t="s">
        <v>101</v>
      </c>
      <c r="D11" s="119"/>
      <c r="E11" s="119"/>
      <c r="F11" s="88">
        <f>Estado!D11</f>
        <v>1500</v>
      </c>
      <c r="G11" s="88">
        <f>F11+1500</f>
        <v>3000</v>
      </c>
      <c r="H11" s="88">
        <f t="shared" ref="H11:K11" si="2">G11+1500</f>
        <v>4500</v>
      </c>
      <c r="I11" s="88">
        <f t="shared" si="2"/>
        <v>6000</v>
      </c>
      <c r="J11" s="88">
        <f t="shared" si="2"/>
        <v>7500</v>
      </c>
      <c r="K11" s="88">
        <f t="shared" si="2"/>
        <v>9000</v>
      </c>
    </row>
    <row r="12" spans="3:11" ht="15" x14ac:dyDescent="0.25">
      <c r="C12" s="113" t="s">
        <v>95</v>
      </c>
      <c r="D12" s="114"/>
      <c r="E12" s="115"/>
      <c r="F12" s="88">
        <f>F10-F11</f>
        <v>98500</v>
      </c>
      <c r="G12" s="88">
        <f t="shared" ref="G12:K12" si="3">G10-G11</f>
        <v>97000</v>
      </c>
      <c r="H12" s="88">
        <f t="shared" si="3"/>
        <v>95500</v>
      </c>
      <c r="I12" s="88">
        <f t="shared" si="3"/>
        <v>94000</v>
      </c>
      <c r="J12" s="88">
        <f t="shared" si="3"/>
        <v>92500</v>
      </c>
      <c r="K12" s="88">
        <f t="shared" si="3"/>
        <v>91000</v>
      </c>
    </row>
    <row r="13" spans="3:11" ht="15" x14ac:dyDescent="0.25">
      <c r="C13" s="116"/>
      <c r="D13" s="117"/>
      <c r="E13" s="117"/>
      <c r="F13" s="117"/>
      <c r="G13" s="117"/>
      <c r="H13" s="117"/>
      <c r="I13" s="117"/>
      <c r="J13" s="117"/>
      <c r="K13" s="118"/>
    </row>
    <row r="14" spans="3:11" ht="15" x14ac:dyDescent="0.25">
      <c r="C14" s="113" t="s">
        <v>97</v>
      </c>
      <c r="D14" s="114"/>
      <c r="E14" s="115"/>
      <c r="F14" s="88">
        <f>F8+F12</f>
        <v>528534.48275862075</v>
      </c>
      <c r="G14" s="88">
        <f t="shared" ref="G14:K14" si="4">G8+G12</f>
        <v>563759.31034482759</v>
      </c>
      <c r="H14" s="88">
        <f t="shared" si="4"/>
        <v>595529.0338889187</v>
      </c>
      <c r="I14" s="88">
        <f t="shared" si="4"/>
        <v>632498.0984131794</v>
      </c>
      <c r="J14" s="88">
        <f t="shared" si="4"/>
        <v>675071.8928118503</v>
      </c>
      <c r="K14" s="88">
        <f t="shared" si="4"/>
        <v>737903.34745922219</v>
      </c>
    </row>
    <row r="15" spans="3:11" x14ac:dyDescent="0.2">
      <c r="C15" s="120"/>
      <c r="D15" s="121"/>
      <c r="E15" s="121"/>
      <c r="F15" s="121"/>
      <c r="G15" s="121"/>
      <c r="H15" s="121"/>
      <c r="I15" s="121"/>
      <c r="J15" s="121"/>
      <c r="K15" s="122"/>
    </row>
    <row r="16" spans="3:11" x14ac:dyDescent="0.2">
      <c r="C16" s="123"/>
      <c r="D16" s="124"/>
      <c r="E16" s="124"/>
      <c r="F16" s="124"/>
      <c r="G16" s="124"/>
      <c r="H16" s="124"/>
      <c r="I16" s="124"/>
      <c r="J16" s="124"/>
      <c r="K16" s="125"/>
    </row>
    <row r="17" spans="3:11" ht="19.5" customHeight="1" x14ac:dyDescent="0.25">
      <c r="C17" s="113" t="s">
        <v>98</v>
      </c>
      <c r="D17" s="114"/>
      <c r="E17" s="115"/>
      <c r="F17" s="116"/>
      <c r="G17" s="117"/>
      <c r="H17" s="117"/>
      <c r="I17" s="117"/>
      <c r="J17" s="117"/>
      <c r="K17" s="118"/>
    </row>
    <row r="18" spans="3:11" ht="15" x14ac:dyDescent="0.25">
      <c r="C18" s="119" t="s">
        <v>102</v>
      </c>
      <c r="D18" s="119"/>
      <c r="E18" s="119"/>
      <c r="F18" s="88">
        <v>0</v>
      </c>
      <c r="G18" s="88">
        <v>0</v>
      </c>
      <c r="H18" s="88">
        <v>0</v>
      </c>
      <c r="I18" s="88">
        <f t="shared" ref="I18:K18" si="5">H18*2%+H18</f>
        <v>0</v>
      </c>
      <c r="J18" s="88">
        <f t="shared" si="5"/>
        <v>0</v>
      </c>
      <c r="K18" s="88">
        <f t="shared" si="5"/>
        <v>0</v>
      </c>
    </row>
    <row r="19" spans="3:11" ht="15" customHeight="1" x14ac:dyDescent="0.25">
      <c r="C19" s="113" t="s">
        <v>99</v>
      </c>
      <c r="D19" s="114"/>
      <c r="E19" s="115"/>
      <c r="F19" s="88">
        <f>F18</f>
        <v>0</v>
      </c>
      <c r="G19" s="88">
        <f t="shared" ref="G19:K19" si="6">G18</f>
        <v>0</v>
      </c>
      <c r="H19" s="88">
        <f t="shared" si="6"/>
        <v>0</v>
      </c>
      <c r="I19" s="88">
        <f t="shared" si="6"/>
        <v>0</v>
      </c>
      <c r="J19" s="88">
        <f t="shared" si="6"/>
        <v>0</v>
      </c>
      <c r="K19" s="88">
        <f t="shared" si="6"/>
        <v>0</v>
      </c>
    </row>
    <row r="20" spans="3:11" ht="14.25" customHeight="1" x14ac:dyDescent="0.25">
      <c r="C20" s="116"/>
      <c r="D20" s="117"/>
      <c r="E20" s="117"/>
      <c r="F20" s="117"/>
      <c r="G20" s="117"/>
      <c r="H20" s="117"/>
      <c r="I20" s="117"/>
      <c r="J20" s="117"/>
      <c r="K20" s="118"/>
    </row>
    <row r="21" spans="3:11" ht="15" x14ac:dyDescent="0.25">
      <c r="C21" s="87" t="s">
        <v>35</v>
      </c>
      <c r="D21" s="87"/>
      <c r="E21" s="87"/>
      <c r="F21" s="116"/>
      <c r="G21" s="117"/>
      <c r="H21" s="117"/>
      <c r="I21" s="117"/>
      <c r="J21" s="117"/>
      <c r="K21" s="118"/>
    </row>
    <row r="22" spans="3:11" ht="15" x14ac:dyDescent="0.25">
      <c r="C22" s="119" t="s">
        <v>103</v>
      </c>
      <c r="D22" s="119"/>
      <c r="E22" s="119"/>
      <c r="F22" s="88">
        <f>Datos!K10</f>
        <v>500000</v>
      </c>
      <c r="G22" s="88">
        <f>Datos!K10</f>
        <v>500000</v>
      </c>
      <c r="H22" s="88">
        <f>Datos!K10</f>
        <v>500000</v>
      </c>
      <c r="I22" s="88">
        <f>Datos!K10</f>
        <v>500000</v>
      </c>
      <c r="J22" s="88">
        <f>Datos!K10</f>
        <v>500000</v>
      </c>
      <c r="K22" s="88">
        <f>Datos!K10</f>
        <v>500000</v>
      </c>
    </row>
    <row r="23" spans="3:11" ht="15" x14ac:dyDescent="0.25">
      <c r="C23" s="119" t="s">
        <v>104</v>
      </c>
      <c r="D23" s="119"/>
      <c r="E23" s="119"/>
      <c r="F23" s="88">
        <f>Estado!D18</f>
        <v>28534.482758620696</v>
      </c>
      <c r="G23" s="88">
        <f>Estado!D18+Estado!E18</f>
        <v>63759.310344827594</v>
      </c>
      <c r="H23" s="88">
        <f>Estado!E18+G23</f>
        <v>98984.137931034493</v>
      </c>
      <c r="I23" s="88">
        <f>Estado!F18+H23</f>
        <v>132079.44982068971</v>
      </c>
      <c r="J23" s="88">
        <f>Estado!G18+I23</f>
        <v>170477.11509260145</v>
      </c>
      <c r="K23" s="88">
        <f>Estado!H18+J23</f>
        <v>214589.1833551178</v>
      </c>
    </row>
    <row r="24" spans="3:11" ht="15" x14ac:dyDescent="0.25">
      <c r="C24" s="113" t="s">
        <v>105</v>
      </c>
      <c r="D24" s="114"/>
      <c r="E24" s="115"/>
      <c r="F24" s="88">
        <f>F22+F23</f>
        <v>528534.48275862075</v>
      </c>
      <c r="G24" s="88">
        <f t="shared" ref="G24:K24" si="7">G22+G23</f>
        <v>563759.31034482759</v>
      </c>
      <c r="H24" s="88">
        <f t="shared" si="7"/>
        <v>598984.13793103443</v>
      </c>
      <c r="I24" s="88">
        <f t="shared" si="7"/>
        <v>632079.44982068974</v>
      </c>
      <c r="J24" s="88">
        <f t="shared" si="7"/>
        <v>670477.11509260139</v>
      </c>
      <c r="K24" s="88">
        <f t="shared" si="7"/>
        <v>714589.1833551178</v>
      </c>
    </row>
    <row r="25" spans="3:11" ht="15" x14ac:dyDescent="0.25">
      <c r="C25" s="116"/>
      <c r="D25" s="117"/>
      <c r="E25" s="117"/>
      <c r="F25" s="117"/>
      <c r="G25" s="117"/>
      <c r="H25" s="117"/>
      <c r="I25" s="117"/>
      <c r="J25" s="117"/>
      <c r="K25" s="118"/>
    </row>
    <row r="26" spans="3:11" ht="15" x14ac:dyDescent="0.25">
      <c r="C26" s="119" t="s">
        <v>106</v>
      </c>
      <c r="D26" s="119"/>
      <c r="E26" s="119"/>
      <c r="F26" s="88">
        <f>F19+F24</f>
        <v>528534.48275862075</v>
      </c>
      <c r="G26" s="88">
        <f t="shared" ref="G26:K26" si="8">G19+G24</f>
        <v>563759.31034482759</v>
      </c>
      <c r="H26" s="88">
        <f t="shared" si="8"/>
        <v>598984.13793103443</v>
      </c>
      <c r="I26" s="88">
        <f t="shared" si="8"/>
        <v>632079.44982068974</v>
      </c>
      <c r="J26" s="88">
        <f t="shared" si="8"/>
        <v>670477.11509260139</v>
      </c>
      <c r="K26" s="88">
        <f t="shared" si="8"/>
        <v>714589.1833551178</v>
      </c>
    </row>
  </sheetData>
  <mergeCells count="24">
    <mergeCell ref="C26:E26"/>
    <mergeCell ref="C4:E4"/>
    <mergeCell ref="C5:E5"/>
    <mergeCell ref="C9:K9"/>
    <mergeCell ref="C13:K13"/>
    <mergeCell ref="C15:K16"/>
    <mergeCell ref="C10:E10"/>
    <mergeCell ref="C11:E11"/>
    <mergeCell ref="C6:E6"/>
    <mergeCell ref="C7:E7"/>
    <mergeCell ref="F5:K5"/>
    <mergeCell ref="F21:K21"/>
    <mergeCell ref="C12:E12"/>
    <mergeCell ref="C14:E14"/>
    <mergeCell ref="C8:E8"/>
    <mergeCell ref="C18:E18"/>
    <mergeCell ref="C19:E19"/>
    <mergeCell ref="C24:E24"/>
    <mergeCell ref="C17:E17"/>
    <mergeCell ref="C20:K20"/>
    <mergeCell ref="C25:K25"/>
    <mergeCell ref="F17:K17"/>
    <mergeCell ref="C22:E22"/>
    <mergeCell ref="C23:E23"/>
  </mergeCell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505F61-913F-4326-9711-59317DC478D5}">
  <sheetPr codeName="Hoja7">
    <tabColor theme="2" tint="-0.499984740745262"/>
  </sheetPr>
  <dimension ref="B2:K15"/>
  <sheetViews>
    <sheetView workbookViewId="0">
      <selection activeCell="E11" sqref="E11"/>
    </sheetView>
  </sheetViews>
  <sheetFormatPr baseColWidth="10" defaultRowHeight="14.25" x14ac:dyDescent="0.2"/>
  <cols>
    <col min="1" max="4" width="11.42578125" style="12"/>
    <col min="5" max="5" width="12.5703125" style="12" bestFit="1" customWidth="1"/>
    <col min="6" max="6" width="14.5703125" style="12" bestFit="1" customWidth="1"/>
    <col min="7" max="7" width="14.85546875" style="12" bestFit="1" customWidth="1"/>
    <col min="8" max="10" width="14.5703125" style="12" bestFit="1" customWidth="1"/>
    <col min="11" max="11" width="14.7109375" style="12" bestFit="1" customWidth="1"/>
    <col min="12" max="16384" width="11.42578125" style="12"/>
  </cols>
  <sheetData>
    <row r="2" spans="2:11" ht="27" x14ac:dyDescent="0.35">
      <c r="B2" s="81"/>
      <c r="C2" s="81"/>
      <c r="D2" s="81"/>
      <c r="E2" s="81"/>
      <c r="F2" s="82" t="s">
        <v>108</v>
      </c>
      <c r="G2" s="81"/>
      <c r="H2" s="81"/>
      <c r="I2" s="81"/>
      <c r="J2" s="81"/>
    </row>
    <row r="3" spans="2:11" ht="18.75" x14ac:dyDescent="0.2">
      <c r="B3" s="132" t="s">
        <v>52</v>
      </c>
      <c r="C3" s="133"/>
      <c r="D3" s="134"/>
      <c r="E3" s="83">
        <v>1</v>
      </c>
      <c r="F3" s="83">
        <v>2</v>
      </c>
      <c r="G3" s="83">
        <v>3</v>
      </c>
      <c r="H3" s="83">
        <v>4</v>
      </c>
      <c r="I3" s="83">
        <v>5</v>
      </c>
      <c r="J3" s="83">
        <v>6</v>
      </c>
    </row>
    <row r="4" spans="2:11" ht="15.75" x14ac:dyDescent="0.2">
      <c r="B4" s="126" t="s">
        <v>62</v>
      </c>
      <c r="C4" s="127"/>
      <c r="D4" s="128"/>
      <c r="E4" s="84">
        <f>Estado!D18</f>
        <v>28534.482758620696</v>
      </c>
      <c r="F4" s="84">
        <f>Estado!E18</f>
        <v>35224.827586206899</v>
      </c>
      <c r="G4" s="84">
        <f>Estado!F18</f>
        <v>33095.311889655226</v>
      </c>
      <c r="H4" s="84">
        <f>Estado!G18</f>
        <v>38397.665271911748</v>
      </c>
      <c r="I4" s="84">
        <f>Estado!H18</f>
        <v>44112.068262516346</v>
      </c>
      <c r="J4" s="84">
        <f>Estado!I18</f>
        <v>50265.163717897536</v>
      </c>
    </row>
    <row r="5" spans="2:11" ht="15.75" x14ac:dyDescent="0.2">
      <c r="B5" s="126" t="s">
        <v>78</v>
      </c>
      <c r="C5" s="127"/>
      <c r="D5" s="128"/>
      <c r="E5" s="84">
        <f>Flujo!E7</f>
        <v>560000</v>
      </c>
      <c r="F5" s="84">
        <f>Flujo!F7</f>
        <v>510120</v>
      </c>
      <c r="G5" s="84">
        <f>Flujo!G7</f>
        <v>535932.07200000004</v>
      </c>
      <c r="H5" s="84">
        <f>Flujo!H7</f>
        <v>563050.23484320007</v>
      </c>
      <c r="I5" s="84">
        <f>Flujo!I7</f>
        <v>591540.57672626595</v>
      </c>
      <c r="J5" s="84">
        <f>Flujo!J7</f>
        <v>621472.52990861493</v>
      </c>
      <c r="K5" s="80"/>
    </row>
    <row r="6" spans="2:11" ht="15.75" x14ac:dyDescent="0.2">
      <c r="B6" s="126" t="s">
        <v>86</v>
      </c>
      <c r="C6" s="127"/>
      <c r="D6" s="128"/>
      <c r="E6" s="84">
        <f>Flujo!E15</f>
        <v>519965.5172413793</v>
      </c>
      <c r="F6" s="84">
        <f>Flujo!F15</f>
        <v>488575.1724137931</v>
      </c>
      <c r="G6" s="84">
        <f>Flujo!G15</f>
        <v>518610.45645590895</v>
      </c>
      <c r="H6" s="84">
        <f>Flujo!H15</f>
        <v>541336.25258373946</v>
      </c>
      <c r="I6" s="84">
        <f>Flujo!I15</f>
        <v>565069.67175499385</v>
      </c>
      <c r="J6" s="84">
        <f>Flujo!J15</f>
        <v>575634.67089366831</v>
      </c>
      <c r="K6" s="80"/>
    </row>
    <row r="7" spans="2:11" ht="15.75" x14ac:dyDescent="0.2">
      <c r="B7" s="129" t="s">
        <v>88</v>
      </c>
      <c r="C7" s="130"/>
      <c r="D7" s="131"/>
      <c r="E7" s="85">
        <f>Flujo!E16</f>
        <v>40034.482758620696</v>
      </c>
      <c r="F7" s="85">
        <f>Flujo!F16</f>
        <v>21544.827586206899</v>
      </c>
      <c r="G7" s="85">
        <f>Flujo!G16</f>
        <v>17321.615544091095</v>
      </c>
      <c r="H7" s="85">
        <f>Flujo!H16</f>
        <v>21713.982259460608</v>
      </c>
      <c r="I7" s="85">
        <f>Flujo!I16</f>
        <v>26470.904971272103</v>
      </c>
      <c r="J7" s="85">
        <f>Flujo!J16</f>
        <v>45837.859014946618</v>
      </c>
      <c r="K7" s="80"/>
    </row>
    <row r="8" spans="2:11" ht="15.75" x14ac:dyDescent="0.2">
      <c r="B8" s="126" t="s">
        <v>109</v>
      </c>
      <c r="C8" s="127"/>
      <c r="D8" s="128"/>
      <c r="E8" s="84">
        <f>Flujo!E17</f>
        <v>90000</v>
      </c>
      <c r="F8" s="84">
        <f>Flujo!F17</f>
        <v>130034.4827586207</v>
      </c>
      <c r="G8" s="84">
        <f>Flujo!G17</f>
        <v>151579.31034482759</v>
      </c>
      <c r="H8" s="84">
        <f>Flujo!H17</f>
        <v>168900.92588891869</v>
      </c>
      <c r="I8" s="84">
        <f>Flujo!I17</f>
        <v>190614.9081483793</v>
      </c>
      <c r="J8" s="84">
        <f>Flujo!J17</f>
        <v>217085.8131196514</v>
      </c>
      <c r="K8" s="80"/>
    </row>
    <row r="9" spans="2:11" ht="15.75" x14ac:dyDescent="0.2">
      <c r="B9" s="126" t="s">
        <v>89</v>
      </c>
      <c r="C9" s="127"/>
      <c r="D9" s="128"/>
      <c r="E9" s="84">
        <f>Flujo!E18</f>
        <v>130034.4827586207</v>
      </c>
      <c r="F9" s="84">
        <f>Flujo!F18</f>
        <v>151579.31034482759</v>
      </c>
      <c r="G9" s="84">
        <f>Flujo!G18</f>
        <v>168900.92588891869</v>
      </c>
      <c r="H9" s="84">
        <f>Flujo!H18</f>
        <v>190614.9081483793</v>
      </c>
      <c r="I9" s="84">
        <f>Flujo!I18</f>
        <v>217085.8131196514</v>
      </c>
      <c r="J9" s="84">
        <f>Flujo!J18</f>
        <v>262923.67213459802</v>
      </c>
      <c r="K9" s="80"/>
    </row>
    <row r="10" spans="2:11" ht="15.75" x14ac:dyDescent="0.2">
      <c r="B10" s="126" t="s">
        <v>87</v>
      </c>
      <c r="C10" s="127"/>
      <c r="D10" s="128"/>
      <c r="E10" s="84">
        <f>Flujo!E19</f>
        <v>0</v>
      </c>
      <c r="F10" s="84">
        <f>Flujo!F19</f>
        <v>0</v>
      </c>
      <c r="G10" s="84">
        <f>Flujo!G19</f>
        <v>0</v>
      </c>
      <c r="H10" s="84">
        <f>Flujo!H19</f>
        <v>0</v>
      </c>
      <c r="I10" s="84">
        <f>Flujo!I19</f>
        <v>0</v>
      </c>
      <c r="J10" s="84">
        <f>Flujo!J19</f>
        <v>0</v>
      </c>
      <c r="K10" s="80"/>
    </row>
    <row r="11" spans="2:11" ht="15.75" x14ac:dyDescent="0.2">
      <c r="B11" s="126" t="s">
        <v>97</v>
      </c>
      <c r="C11" s="127"/>
      <c r="D11" s="128"/>
      <c r="E11" s="84">
        <f>Balance!F14</f>
        <v>528534.48275862075</v>
      </c>
      <c r="F11" s="84">
        <f>Balance!G14</f>
        <v>563759.31034482759</v>
      </c>
      <c r="G11" s="84">
        <f>Balance!H14</f>
        <v>595529.0338889187</v>
      </c>
      <c r="H11" s="84">
        <f>Balance!I14</f>
        <v>632498.0984131794</v>
      </c>
      <c r="I11" s="84">
        <f>Balance!J14</f>
        <v>675071.8928118503</v>
      </c>
      <c r="J11" s="84">
        <f>Balance!K14</f>
        <v>737903.34745922219</v>
      </c>
      <c r="K11" s="80"/>
    </row>
    <row r="12" spans="2:11" ht="15.75" x14ac:dyDescent="0.2">
      <c r="B12" s="126" t="s">
        <v>99</v>
      </c>
      <c r="C12" s="127"/>
      <c r="D12" s="128"/>
      <c r="E12" s="84">
        <f>Balance!F19</f>
        <v>0</v>
      </c>
      <c r="F12" s="84">
        <f>Balance!G19</f>
        <v>0</v>
      </c>
      <c r="G12" s="84">
        <f>Balance!H19</f>
        <v>0</v>
      </c>
      <c r="H12" s="84">
        <f>Balance!I19</f>
        <v>0</v>
      </c>
      <c r="I12" s="84">
        <f>Balance!J19</f>
        <v>0</v>
      </c>
      <c r="J12" s="84">
        <f>Balance!K19</f>
        <v>0</v>
      </c>
      <c r="K12" s="80"/>
    </row>
    <row r="13" spans="2:11" ht="15.75" x14ac:dyDescent="0.2">
      <c r="B13" s="129" t="s">
        <v>107</v>
      </c>
      <c r="C13" s="130"/>
      <c r="D13" s="131"/>
      <c r="E13" s="86">
        <f>E11-E12</f>
        <v>528534.48275862075</v>
      </c>
      <c r="F13" s="86">
        <f>F11-F12</f>
        <v>563759.31034482759</v>
      </c>
      <c r="G13" s="86">
        <f>G11-G12</f>
        <v>595529.0338889187</v>
      </c>
      <c r="H13" s="86">
        <f t="shared" ref="H13:J13" si="0">H11-H12</f>
        <v>632498.0984131794</v>
      </c>
      <c r="I13" s="86">
        <f t="shared" si="0"/>
        <v>675071.8928118503</v>
      </c>
      <c r="J13" s="86">
        <f t="shared" si="0"/>
        <v>737903.34745922219</v>
      </c>
      <c r="K13" s="80"/>
    </row>
    <row r="14" spans="2:11" x14ac:dyDescent="0.2">
      <c r="B14" s="81"/>
      <c r="C14" s="81"/>
      <c r="D14" s="81"/>
      <c r="E14" s="81"/>
      <c r="F14" s="81"/>
      <c r="G14" s="81"/>
      <c r="H14" s="81"/>
      <c r="I14" s="81"/>
      <c r="J14" s="81"/>
      <c r="K14" s="80"/>
    </row>
    <row r="15" spans="2:11" x14ac:dyDescent="0.2">
      <c r="B15" s="81"/>
      <c r="C15" s="81"/>
      <c r="D15" s="81"/>
      <c r="E15" s="81"/>
      <c r="F15" s="81"/>
      <c r="G15" s="81"/>
      <c r="H15" s="81"/>
      <c r="I15" s="81"/>
      <c r="J15" s="81"/>
    </row>
  </sheetData>
  <mergeCells count="11">
    <mergeCell ref="B10:D10"/>
    <mergeCell ref="B11:D11"/>
    <mergeCell ref="B12:D12"/>
    <mergeCell ref="B13:D13"/>
    <mergeCell ref="B3:D3"/>
    <mergeCell ref="B4:D4"/>
    <mergeCell ref="B5:D5"/>
    <mergeCell ref="B6:D6"/>
    <mergeCell ref="B7:D7"/>
    <mergeCell ref="B8:D8"/>
    <mergeCell ref="B9:D9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8</vt:i4>
      </vt:variant>
    </vt:vector>
  </HeadingPairs>
  <TitlesOfParts>
    <vt:vector size="8" baseType="lpstr">
      <vt:lpstr>Inicio</vt:lpstr>
      <vt:lpstr>Menú</vt:lpstr>
      <vt:lpstr>Datos</vt:lpstr>
      <vt:lpstr>Estado</vt:lpstr>
      <vt:lpstr>Calculos</vt:lpstr>
      <vt:lpstr>Flujo</vt:lpstr>
      <vt:lpstr>Balance</vt:lpstr>
      <vt:lpstr>Resultados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miria</dc:creator>
  <cp:lastModifiedBy>Joel Colin</cp:lastModifiedBy>
  <dcterms:created xsi:type="dcterms:W3CDTF">2021-05-16T20:37:00Z</dcterms:created>
  <dcterms:modified xsi:type="dcterms:W3CDTF">2021-05-20T19:08:43Z</dcterms:modified>
</cp:coreProperties>
</file>